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orst\Dropbox\VM 2026\"/>
    </mc:Choice>
  </mc:AlternateContent>
  <xr:revisionPtr revIDLastSave="0" documentId="13_ncr:1_{819DDF6F-0BE6-465E-823F-739B9D644A74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Toppscorere" sheetId="1" r:id="rId1"/>
    <sheet name="Kamper" sheetId="2" r:id="rId2"/>
    <sheet name="Poeng" sheetId="3" r:id="rId3"/>
    <sheet name="Plottin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 a="1"/>
  <c r="C2" i="4" a="1"/>
  <c r="D2" i="4" a="1"/>
  <c r="E2" i="4" a="1"/>
  <c r="F2" i="4" a="1"/>
  <c r="G2" i="4" a="1"/>
  <c r="H2" i="4" a="1"/>
  <c r="I2" i="4" a="1"/>
  <c r="J2" i="4" a="1"/>
  <c r="K2" i="4" a="1"/>
  <c r="L2" i="4" a="1"/>
  <c r="M2" i="4" a="1"/>
  <c r="B4" i="4" a="1"/>
  <c r="C4" i="4" a="1"/>
  <c r="D4" i="4" a="1"/>
  <c r="E4" i="4" a="1"/>
  <c r="F4" i="4" a="1"/>
  <c r="G4" i="4" a="1"/>
  <c r="H4" i="4" a="1"/>
  <c r="I4" i="4" a="1"/>
  <c r="J4" i="4" a="1"/>
  <c r="K4" i="4" a="1"/>
  <c r="L4" i="4" a="1"/>
  <c r="M4" i="4" a="1"/>
  <c r="B5" i="4" a="1"/>
  <c r="C5" i="4" a="1"/>
  <c r="D5" i="4" a="1"/>
  <c r="E5" i="4" a="1"/>
  <c r="F5" i="4" a="1"/>
  <c r="G5" i="4" a="1"/>
  <c r="H5" i="4" a="1"/>
  <c r="I5" i="4" a="1"/>
  <c r="J5" i="4" a="1"/>
  <c r="K5" i="4" a="1"/>
  <c r="L5" i="4" a="1"/>
  <c r="M5" i="4" a="1"/>
  <c r="B6" i="4" a="1"/>
  <c r="C6" i="4" a="1"/>
  <c r="D6" i="4" a="1"/>
  <c r="E6" i="4" a="1"/>
  <c r="F6" i="4" a="1"/>
  <c r="G6" i="4" a="1"/>
  <c r="H6" i="4" a="1"/>
  <c r="I6" i="4" a="1"/>
  <c r="J6" i="4" a="1"/>
  <c r="K6" i="4" a="1"/>
  <c r="L6" i="4" a="1"/>
  <c r="M6" i="4" a="1"/>
  <c r="B7" i="4" a="1"/>
  <c r="C7" i="4" a="1"/>
  <c r="D7" i="4" a="1"/>
  <c r="E7" i="4" a="1"/>
  <c r="F7" i="4" a="1"/>
  <c r="G7" i="4" a="1"/>
  <c r="H7" i="4" a="1"/>
  <c r="I7" i="4" a="1"/>
  <c r="J7" i="4" a="1"/>
  <c r="K7" i="4" a="1"/>
  <c r="L7" i="4" a="1"/>
  <c r="M7" i="4" a="1"/>
  <c r="B8" i="4" a="1"/>
  <c r="C8" i="4" a="1"/>
  <c r="D8" i="4" a="1"/>
  <c r="E8" i="4" a="1"/>
  <c r="F8" i="4" a="1"/>
  <c r="G8" i="4" a="1"/>
  <c r="H8" i="4" a="1"/>
  <c r="I8" i="4" a="1"/>
  <c r="J8" i="4" a="1"/>
  <c r="K8" i="4" a="1"/>
  <c r="L8" i="4" a="1"/>
  <c r="M8" i="4" a="1"/>
  <c r="B9" i="4" a="1"/>
  <c r="C9" i="4" a="1"/>
  <c r="D9" i="4" a="1"/>
  <c r="E9" i="4" a="1"/>
  <c r="F9" i="4" a="1"/>
  <c r="G9" i="4" a="1"/>
  <c r="H9" i="4" a="1"/>
  <c r="I9" i="4" a="1"/>
  <c r="J9" i="4" a="1"/>
  <c r="K9" i="4" a="1"/>
  <c r="L9" i="4" a="1"/>
  <c r="M9" i="4" a="1"/>
  <c r="B10" i="4" a="1"/>
  <c r="C10" i="4" a="1"/>
  <c r="D10" i="4" a="1"/>
  <c r="E10" i="4" a="1"/>
  <c r="F10" i="4" a="1"/>
  <c r="G10" i="4" a="1"/>
  <c r="H10" i="4" a="1"/>
  <c r="I10" i="4" a="1"/>
  <c r="J10" i="4" a="1"/>
  <c r="K10" i="4" a="1"/>
  <c r="L10" i="4" a="1"/>
  <c r="M10" i="4" a="1"/>
  <c r="B11" i="4" a="1"/>
  <c r="C11" i="4" a="1"/>
  <c r="D11" i="4" a="1"/>
  <c r="E11" i="4" a="1"/>
  <c r="F11" i="4" a="1"/>
  <c r="G11" i="4" a="1"/>
  <c r="H11" i="4" a="1"/>
  <c r="I11" i="4" a="1"/>
  <c r="J11" i="4" a="1"/>
  <c r="K11" i="4" a="1"/>
  <c r="L11" i="4" a="1"/>
  <c r="M11" i="4" a="1"/>
  <c r="B12" i="4" a="1"/>
  <c r="C12" i="4" a="1"/>
  <c r="D12" i="4" a="1"/>
  <c r="E12" i="4" a="1"/>
  <c r="F12" i="4" a="1"/>
  <c r="G12" i="4" a="1"/>
  <c r="H12" i="4" a="1"/>
  <c r="I12" i="4" a="1"/>
  <c r="J12" i="4" a="1"/>
  <c r="K12" i="4" a="1"/>
  <c r="L12" i="4" a="1"/>
  <c r="M12" i="4" a="1"/>
  <c r="B13" i="4" a="1"/>
  <c r="C13" i="4" a="1"/>
  <c r="D13" i="4" a="1"/>
  <c r="E13" i="4" a="1"/>
  <c r="F13" i="4" a="1"/>
  <c r="G13" i="4" a="1"/>
  <c r="H13" i="4" a="1"/>
  <c r="I13" i="4" a="1"/>
  <c r="J13" i="4" a="1"/>
  <c r="K13" i="4" a="1"/>
  <c r="L13" i="4" a="1"/>
  <c r="M13" i="4" a="1"/>
  <c r="B14" i="4" a="1"/>
  <c r="C14" i="4" a="1"/>
  <c r="D14" i="4" a="1"/>
  <c r="E14" i="4" a="1"/>
  <c r="F14" i="4" a="1"/>
  <c r="G14" i="4" a="1"/>
  <c r="H14" i="4" a="1"/>
  <c r="I14" i="4" a="1"/>
  <c r="J14" i="4" a="1"/>
  <c r="K14" i="4" a="1"/>
  <c r="L14" i="4" a="1"/>
  <c r="M14" i="4" a="1"/>
  <c r="B15" i="4" a="1"/>
  <c r="C15" i="4" a="1"/>
  <c r="D15" i="4" a="1"/>
  <c r="E15" i="4" a="1"/>
  <c r="F15" i="4" a="1"/>
  <c r="G15" i="4" a="1"/>
  <c r="H15" i="4" a="1"/>
  <c r="I15" i="4" a="1"/>
  <c r="J15" i="4" a="1"/>
  <c r="K15" i="4" a="1"/>
  <c r="L15" i="4" a="1"/>
  <c r="M15" i="4" a="1"/>
  <c r="B16" i="4" a="1"/>
  <c r="C16" i="4" a="1"/>
  <c r="D16" i="4" a="1"/>
  <c r="E16" i="4" a="1"/>
  <c r="F16" i="4" a="1"/>
  <c r="G16" i="4" a="1"/>
  <c r="H16" i="4" a="1"/>
  <c r="I16" i="4" a="1"/>
  <c r="J16" i="4" a="1"/>
  <c r="K16" i="4" a="1"/>
  <c r="L16" i="4" a="1"/>
  <c r="M16" i="4" a="1"/>
  <c r="B17" i="4" a="1"/>
  <c r="C17" i="4" a="1"/>
  <c r="D17" i="4" a="1"/>
  <c r="E17" i="4" a="1"/>
  <c r="F17" i="4" a="1"/>
  <c r="G17" i="4" a="1"/>
  <c r="H17" i="4" a="1"/>
  <c r="I17" i="4" a="1"/>
  <c r="J17" i="4" a="1"/>
  <c r="K17" i="4" a="1"/>
  <c r="L17" i="4" a="1"/>
  <c r="M17" i="4" a="1"/>
  <c r="B18" i="4" a="1"/>
  <c r="C18" i="4" a="1"/>
  <c r="D18" i="4" a="1"/>
  <c r="E18" i="4" a="1"/>
  <c r="F18" i="4" a="1"/>
  <c r="G18" i="4" a="1"/>
  <c r="H18" i="4" a="1"/>
  <c r="I18" i="4" a="1"/>
  <c r="J18" i="4" a="1"/>
  <c r="K18" i="4" a="1"/>
  <c r="L18" i="4" a="1"/>
  <c r="M18" i="4" a="1"/>
  <c r="B19" i="4" a="1"/>
  <c r="C19" i="4" a="1"/>
  <c r="D19" i="4" a="1"/>
  <c r="E19" i="4" a="1"/>
  <c r="F19" i="4" a="1"/>
  <c r="G19" i="4" a="1"/>
  <c r="H19" i="4" a="1"/>
  <c r="I19" i="4" a="1"/>
  <c r="J19" i="4" a="1"/>
  <c r="K19" i="4" a="1"/>
  <c r="L19" i="4" a="1"/>
  <c r="M19" i="4" a="1"/>
  <c r="B20" i="4" a="1"/>
  <c r="C20" i="4" a="1"/>
  <c r="D20" i="4" a="1"/>
  <c r="E20" i="4" a="1"/>
  <c r="F20" i="4" a="1"/>
  <c r="G20" i="4" a="1"/>
  <c r="H20" i="4" a="1"/>
  <c r="I20" i="4" a="1"/>
  <c r="J20" i="4" a="1"/>
  <c r="K20" i="4" a="1"/>
  <c r="L20" i="4" a="1"/>
  <c r="M20" i="4" a="1"/>
  <c r="B21" i="4" a="1"/>
  <c r="C21" i="4" a="1"/>
  <c r="D21" i="4" a="1"/>
  <c r="E21" i="4" a="1"/>
  <c r="F21" i="4" a="1"/>
  <c r="G21" i="4" a="1"/>
  <c r="H21" i="4" a="1"/>
  <c r="I21" i="4" a="1"/>
  <c r="J21" i="4" a="1"/>
  <c r="K21" i="4" a="1"/>
  <c r="L21" i="4" a="1"/>
  <c r="M21" i="4" a="1"/>
  <c r="B22" i="4" a="1"/>
  <c r="C22" i="4" a="1"/>
  <c r="D22" i="4" a="1"/>
  <c r="E22" i="4" a="1"/>
  <c r="F22" i="4" a="1"/>
  <c r="G22" i="4" a="1"/>
  <c r="H22" i="4" a="1"/>
  <c r="I22" i="4" a="1"/>
  <c r="J22" i="4" a="1"/>
  <c r="K22" i="4" a="1"/>
  <c r="L22" i="4" a="1"/>
  <c r="M22" i="4" a="1"/>
  <c r="C3" i="4" a="1"/>
  <c r="D3" i="4" a="1"/>
  <c r="E3" i="4" a="1"/>
  <c r="F3" i="4" a="1"/>
  <c r="G3" i="4" a="1"/>
  <c r="H3" i="4" a="1"/>
  <c r="I3" i="4" a="1"/>
  <c r="J3" i="4" a="1"/>
  <c r="K3" i="4" a="1"/>
  <c r="L3" i="4" a="1"/>
  <c r="M3" i="4" a="1"/>
  <c r="B3" i="4" a="1"/>
  <c r="A2" i="4" l="1" a="1"/>
  <c r="A3" i="4" a="1"/>
  <c r="A5" i="4" a="1"/>
  <c r="A8" i="4" a="1"/>
  <c r="A15" i="4" a="1"/>
  <c r="A9" i="4" a="1"/>
  <c r="A4" i="4" a="1"/>
  <c r="A7" i="4" a="1"/>
  <c r="A12" i="4" a="1"/>
  <c r="A13" i="4" a="1"/>
  <c r="A14" i="4" a="1"/>
  <c r="A6" i="4" a="1"/>
  <c r="A11" i="4" a="1"/>
  <c r="A10" i="4" a="1"/>
  <c r="A19" i="4" a="1"/>
  <c r="A16" i="4" a="1"/>
  <c r="A18" i="4" a="1"/>
  <c r="A20" i="4" a="1"/>
  <c r="A17" i="4" a="1"/>
  <c r="A22" i="4" a="1"/>
  <c r="A21" i="4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<sst xmlns="http://schemas.openxmlformats.org/spreadsheetml/2006/main" count="385" uniqueCount="106">
  <si>
    <t>tid</t>
  </si>
  <si>
    <t>Andreas</t>
  </si>
  <si>
    <t>Christian</t>
  </si>
  <si>
    <t>Erlend</t>
  </si>
  <si>
    <t>Hallvard</t>
  </si>
  <si>
    <t>Harald</t>
  </si>
  <si>
    <t>Helena</t>
  </si>
  <si>
    <t>Jan Erik</t>
  </si>
  <si>
    <t>Mari</t>
  </si>
  <si>
    <t>Oda</t>
  </si>
  <si>
    <t>Pål</t>
  </si>
  <si>
    <t>Tore</t>
  </si>
  <si>
    <t>Torstein</t>
  </si>
  <si>
    <t>Plass</t>
  </si>
  <si>
    <t>Spiller</t>
  </si>
  <si>
    <t>Lag</t>
  </si>
  <si>
    <t>Mål</t>
  </si>
  <si>
    <t>Erling Haaland</t>
  </si>
  <si>
    <t>Norge</t>
  </si>
  <si>
    <t>Kylian Mbappé</t>
  </si>
  <si>
    <t>Frankrike</t>
  </si>
  <si>
    <t>Harry Kane</t>
  </si>
  <si>
    <t>England</t>
  </si>
  <si>
    <t>match_id</t>
  </si>
  <si>
    <t>Hjemmelag</t>
  </si>
  <si>
    <t>Bortelag</t>
  </si>
  <si>
    <t>Hjemmemål</t>
  </si>
  <si>
    <t>Bortemål</t>
  </si>
  <si>
    <t>Status</t>
  </si>
  <si>
    <t>WORLDCUP-rad</t>
  </si>
  <si>
    <t>Mexico</t>
  </si>
  <si>
    <t>South Africa</t>
  </si>
  <si>
    <t>FINISHED</t>
  </si>
  <si>
    <t>South Korea</t>
  </si>
  <si>
    <t>Czech Republic</t>
  </si>
  <si>
    <t>Canada</t>
  </si>
  <si>
    <t>Bosnia and Herzegovina</t>
  </si>
  <si>
    <t>United States</t>
  </si>
  <si>
    <t>Paraguay</t>
  </si>
  <si>
    <t>Qatar</t>
  </si>
  <si>
    <t>Switzerland</t>
  </si>
  <si>
    <t>Brazil</t>
  </si>
  <si>
    <t>Morocco</t>
  </si>
  <si>
    <t>Haiti</t>
  </si>
  <si>
    <t>Scotland</t>
  </si>
  <si>
    <t>Australia</t>
  </si>
  <si>
    <t>Turkey</t>
  </si>
  <si>
    <t>Germany</t>
  </si>
  <si>
    <t>Curaçao</t>
  </si>
  <si>
    <t>Netherlands</t>
  </si>
  <si>
    <t>Japan</t>
  </si>
  <si>
    <t>Ivory Coast</t>
  </si>
  <si>
    <t>Ecuador</t>
  </si>
  <si>
    <t>Sweden</t>
  </si>
  <si>
    <t>Tunisia</t>
  </si>
  <si>
    <t>Spain</t>
  </si>
  <si>
    <t>Cape Verde</t>
  </si>
  <si>
    <t>Belgium</t>
  </si>
  <si>
    <t>Egypt</t>
  </si>
  <si>
    <t>Saudi Arabia</t>
  </si>
  <si>
    <t>Uruguay</t>
  </si>
  <si>
    <t>Iran</t>
  </si>
  <si>
    <t>New Zealand</t>
  </si>
  <si>
    <t>France</t>
  </si>
  <si>
    <t>Senegal</t>
  </si>
  <si>
    <t>Iraq</t>
  </si>
  <si>
    <t>Norway</t>
  </si>
  <si>
    <t>Argentina</t>
  </si>
  <si>
    <t>Algeria</t>
  </si>
  <si>
    <t>Austria</t>
  </si>
  <si>
    <t>Jordan</t>
  </si>
  <si>
    <t>Portugal</t>
  </si>
  <si>
    <t>DR Congo</t>
  </si>
  <si>
    <t>Croatia</t>
  </si>
  <si>
    <t>Ghana</t>
  </si>
  <si>
    <t>Panama</t>
  </si>
  <si>
    <t>Uzbekistan</t>
  </si>
  <si>
    <t>Colombia</t>
  </si>
  <si>
    <t>2A</t>
  </si>
  <si>
    <t>2B</t>
  </si>
  <si>
    <t>1C</t>
  </si>
  <si>
    <t>2F</t>
  </si>
  <si>
    <t>1E</t>
  </si>
  <si>
    <t>3ABCDF</t>
  </si>
  <si>
    <t>1F</t>
  </si>
  <si>
    <t>2C</t>
  </si>
  <si>
    <t>2E</t>
  </si>
  <si>
    <t>2I</t>
  </si>
  <si>
    <t>1I</t>
  </si>
  <si>
    <t>3CDFGH</t>
  </si>
  <si>
    <t>1A</t>
  </si>
  <si>
    <t>3CEFHI</t>
  </si>
  <si>
    <t>1L</t>
  </si>
  <si>
    <t>3EHIJK</t>
  </si>
  <si>
    <t>1G</t>
  </si>
  <si>
    <t>3AEHIJ</t>
  </si>
  <si>
    <t>1D</t>
  </si>
  <si>
    <t>3BEFIJ</t>
  </si>
  <si>
    <t>1H</t>
  </si>
  <si>
    <t>2J</t>
  </si>
  <si>
    <t>2K</t>
  </si>
  <si>
    <t>2L</t>
  </si>
  <si>
    <t>1B</t>
  </si>
  <si>
    <t>3EFGIJ</t>
  </si>
  <si>
    <t>Home</t>
  </si>
  <si>
    <t>Away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</si>
</sst>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dd/mm\ hh:m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20" fontId="0" fillId="0" borderId="0" xfId="0" applyNumberFormat="1"/>
    <xf numFmtId="165" fontId="1" fillId="0" borderId="0" xfId="0" applyNumberFormat="1" applyFont="1"/>
    <xf numFmtId="1" fontId="0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Poeng!$B$1</c:f>
              <c:strCache>
                <c:ptCount val="1"/>
                <c:pt idx="0">
                  <c:v>Andreas</c:v>
                </c:pt>
              </c:strCache>
            </c:strRef>
          </c:tx>
          <c:spPr>
            <a:ln w="6350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Poeng!$A$2:$A$29</c:f>
              <c:numCache>
                <c:formatCode>dd/mm\ hh:mm</c:formatCode>
                <c:ptCount val="28"/>
                <c:pt idx="0">
                  <c:v>46184.875</c:v>
                </c:pt>
                <c:pt idx="1">
                  <c:v>46184.881249999999</c:v>
                </c:pt>
                <c:pt idx="2">
                  <c:v>46184.93472222222</c:v>
                </c:pt>
                <c:pt idx="3">
                  <c:v>46185.218055555553</c:v>
                </c:pt>
                <c:pt idx="4">
                  <c:v>46185.224305555559</c:v>
                </c:pt>
                <c:pt idx="5">
                  <c:v>46185.23333333333</c:v>
                </c:pt>
                <c:pt idx="6">
                  <c:v>46185.895293248053</c:v>
                </c:pt>
                <c:pt idx="7">
                  <c:v>46185.94918325411</c:v>
                </c:pt>
                <c:pt idx="8">
                  <c:v>46186.129861111112</c:v>
                </c:pt>
                <c:pt idx="9">
                  <c:v>46186.146527777775</c:v>
                </c:pt>
                <c:pt idx="10">
                  <c:v>46186.159722222219</c:v>
                </c:pt>
              </c:numCache>
            </c:numRef>
          </c:xVal>
          <c:yVal>
            <c:numRef>
              <c:f>Poeng!$B$2:$B$29</c:f>
              <c:numCache>
                <c:formatCode>General</c:formatCode>
                <c:ptCount val="28"/>
                <c:pt idx="0">
                  <c:v>0</c:v>
                </c:pt>
                <c:pt idx="1">
                  <c:v>3</c:v>
                </c:pt>
                <c:pt idx="2">
                  <c:v>5</c:v>
                </c:pt>
                <c:pt idx="3">
                  <c:v>5</c:v>
                </c:pt>
                <c:pt idx="4">
                  <c:v>8</c:v>
                </c:pt>
                <c:pt idx="5">
                  <c:v>5</c:v>
                </c:pt>
                <c:pt idx="6">
                  <c:v>10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F1-4FA8-8221-D8A006190919}"/>
            </c:ext>
          </c:extLst>
        </c:ser>
        <c:ser>
          <c:idx val="1"/>
          <c:order val="1"/>
          <c:tx>
            <c:strRef>
              <c:f>Poeng!$C$1</c:f>
              <c:strCache>
                <c:ptCount val="1"/>
                <c:pt idx="0">
                  <c:v>Christian</c:v>
                </c:pt>
              </c:strCache>
            </c:strRef>
          </c:tx>
          <c:spPr>
            <a:ln w="6350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Poeng!$A$2:$A$29</c:f>
              <c:numCache>
                <c:formatCode>dd/mm\ hh:mm</c:formatCode>
                <c:ptCount val="28"/>
                <c:pt idx="0">
                  <c:v>46184.875</c:v>
                </c:pt>
                <c:pt idx="1">
                  <c:v>46184.881249999999</c:v>
                </c:pt>
                <c:pt idx="2">
                  <c:v>46184.93472222222</c:v>
                </c:pt>
                <c:pt idx="3">
                  <c:v>46185.218055555553</c:v>
                </c:pt>
                <c:pt idx="4">
                  <c:v>46185.224305555559</c:v>
                </c:pt>
                <c:pt idx="5">
                  <c:v>46185.23333333333</c:v>
                </c:pt>
                <c:pt idx="6">
                  <c:v>46185.895293248053</c:v>
                </c:pt>
                <c:pt idx="7">
                  <c:v>46185.94918325411</c:v>
                </c:pt>
                <c:pt idx="8">
                  <c:v>46186.129861111112</c:v>
                </c:pt>
                <c:pt idx="9">
                  <c:v>46186.146527777775</c:v>
                </c:pt>
                <c:pt idx="10">
                  <c:v>46186.159722222219</c:v>
                </c:pt>
              </c:numCache>
            </c:numRef>
          </c:xVal>
          <c:yVal>
            <c:numRef>
              <c:f>Poeng!$C$2:$C$29</c:f>
              <c:numCache>
                <c:formatCode>General</c:formatCode>
                <c:ptCount val="28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6</c:v>
                </c:pt>
                <c:pt idx="6">
                  <c:v>9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F1-4FA8-8221-D8A006190919}"/>
            </c:ext>
          </c:extLst>
        </c:ser>
        <c:ser>
          <c:idx val="2"/>
          <c:order val="2"/>
          <c:tx>
            <c:strRef>
              <c:f>Poeng!$D$1</c:f>
              <c:strCache>
                <c:ptCount val="1"/>
                <c:pt idx="0">
                  <c:v>Erlend</c:v>
                </c:pt>
              </c:strCache>
            </c:strRef>
          </c:tx>
          <c:spPr>
            <a:ln w="6350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Poeng!$A$2:$A$29</c:f>
              <c:numCache>
                <c:formatCode>dd/mm\ hh:mm</c:formatCode>
                <c:ptCount val="28"/>
                <c:pt idx="0">
                  <c:v>46184.875</c:v>
                </c:pt>
                <c:pt idx="1">
                  <c:v>46184.881249999999</c:v>
                </c:pt>
                <c:pt idx="2">
                  <c:v>46184.93472222222</c:v>
                </c:pt>
                <c:pt idx="3">
                  <c:v>46185.218055555553</c:v>
                </c:pt>
                <c:pt idx="4">
                  <c:v>46185.224305555559</c:v>
                </c:pt>
                <c:pt idx="5">
                  <c:v>46185.23333333333</c:v>
                </c:pt>
                <c:pt idx="6">
                  <c:v>46185.895293248053</c:v>
                </c:pt>
                <c:pt idx="7">
                  <c:v>46185.94918325411</c:v>
                </c:pt>
                <c:pt idx="8">
                  <c:v>46186.129861111112</c:v>
                </c:pt>
                <c:pt idx="9">
                  <c:v>46186.146527777775</c:v>
                </c:pt>
                <c:pt idx="10">
                  <c:v>46186.159722222219</c:v>
                </c:pt>
              </c:numCache>
            </c:numRef>
          </c:xVal>
          <c:yVal>
            <c:numRef>
              <c:f>Poeng!$D$2:$D$29</c:f>
              <c:numCache>
                <c:formatCode>General</c:formatCode>
                <c:ptCount val="28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F1-4FA8-8221-D8A006190919}"/>
            </c:ext>
          </c:extLst>
        </c:ser>
        <c:ser>
          <c:idx val="3"/>
          <c:order val="3"/>
          <c:tx>
            <c:strRef>
              <c:f>Poeng!$E$1</c:f>
              <c:strCache>
                <c:ptCount val="1"/>
                <c:pt idx="0">
                  <c:v>Hallvard</c:v>
                </c:pt>
              </c:strCache>
            </c:strRef>
          </c:tx>
          <c:spPr>
            <a:ln w="6350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xVal>
            <c:numRef>
              <c:f>Poeng!$A$2:$A$29</c:f>
              <c:numCache>
                <c:formatCode>dd/mm\ hh:mm</c:formatCode>
                <c:ptCount val="28"/>
                <c:pt idx="0">
                  <c:v>46184.875</c:v>
                </c:pt>
                <c:pt idx="1">
                  <c:v>46184.881249999999</c:v>
                </c:pt>
                <c:pt idx="2">
                  <c:v>46184.93472222222</c:v>
                </c:pt>
                <c:pt idx="3">
                  <c:v>46185.218055555553</c:v>
                </c:pt>
                <c:pt idx="4">
                  <c:v>46185.224305555559</c:v>
                </c:pt>
                <c:pt idx="5">
                  <c:v>46185.23333333333</c:v>
                </c:pt>
                <c:pt idx="6">
                  <c:v>46185.895293248053</c:v>
                </c:pt>
                <c:pt idx="7">
                  <c:v>46185.94918325411</c:v>
                </c:pt>
                <c:pt idx="8">
                  <c:v>46186.129861111112</c:v>
                </c:pt>
                <c:pt idx="9">
                  <c:v>46186.146527777775</c:v>
                </c:pt>
                <c:pt idx="10">
                  <c:v>46186.159722222219</c:v>
                </c:pt>
              </c:numCache>
            </c:numRef>
          </c:xVal>
          <c:yVal>
            <c:numRef>
              <c:f>Poeng!$E$2:$E$29</c:f>
              <c:numCache>
                <c:formatCode>General</c:formatCode>
                <c:ptCount val="28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6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3F1-4FA8-8221-D8A006190919}"/>
            </c:ext>
          </c:extLst>
        </c:ser>
        <c:ser>
          <c:idx val="4"/>
          <c:order val="4"/>
          <c:tx>
            <c:strRef>
              <c:f>Poeng!$F$1</c:f>
              <c:strCache>
                <c:ptCount val="1"/>
                <c:pt idx="0">
                  <c:v>Harald</c:v>
                </c:pt>
              </c:strCache>
            </c:strRef>
          </c:tx>
          <c:spPr>
            <a:ln w="63500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xVal>
            <c:numRef>
              <c:f>Poeng!$A$2:$A$29</c:f>
              <c:numCache>
                <c:formatCode>dd/mm\ hh:mm</c:formatCode>
                <c:ptCount val="28"/>
                <c:pt idx="0">
                  <c:v>46184.875</c:v>
                </c:pt>
                <c:pt idx="1">
                  <c:v>46184.881249999999</c:v>
                </c:pt>
                <c:pt idx="2">
                  <c:v>46184.93472222222</c:v>
                </c:pt>
                <c:pt idx="3">
                  <c:v>46185.218055555553</c:v>
                </c:pt>
                <c:pt idx="4">
                  <c:v>46185.224305555559</c:v>
                </c:pt>
                <c:pt idx="5">
                  <c:v>46185.23333333333</c:v>
                </c:pt>
                <c:pt idx="6">
                  <c:v>46185.895293248053</c:v>
                </c:pt>
                <c:pt idx="7">
                  <c:v>46185.94918325411</c:v>
                </c:pt>
                <c:pt idx="8">
                  <c:v>46186.129861111112</c:v>
                </c:pt>
                <c:pt idx="9">
                  <c:v>46186.146527777775</c:v>
                </c:pt>
                <c:pt idx="10">
                  <c:v>46186.159722222219</c:v>
                </c:pt>
              </c:numCache>
            </c:numRef>
          </c:xVal>
          <c:yVal>
            <c:numRef>
              <c:f>Poeng!$F$2:$F$29</c:f>
              <c:numCache>
                <c:formatCode>General</c:formatCode>
                <c:ptCount val="28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11</c:v>
                </c:pt>
                <c:pt idx="9">
                  <c:v>13</c:v>
                </c:pt>
                <c:pt idx="1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3F1-4FA8-8221-D8A006190919}"/>
            </c:ext>
          </c:extLst>
        </c:ser>
        <c:ser>
          <c:idx val="5"/>
          <c:order val="5"/>
          <c:tx>
            <c:strRef>
              <c:f>Poeng!$G$1</c:f>
              <c:strCache>
                <c:ptCount val="1"/>
                <c:pt idx="0">
                  <c:v>Helena</c:v>
                </c:pt>
              </c:strCache>
            </c:strRef>
          </c:tx>
          <c:spPr>
            <a:ln w="63500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xVal>
            <c:numRef>
              <c:f>Poeng!$A$2:$A$29</c:f>
              <c:numCache>
                <c:formatCode>dd/mm\ hh:mm</c:formatCode>
                <c:ptCount val="28"/>
                <c:pt idx="0">
                  <c:v>46184.875</c:v>
                </c:pt>
                <c:pt idx="1">
                  <c:v>46184.881249999999</c:v>
                </c:pt>
                <c:pt idx="2">
                  <c:v>46184.93472222222</c:v>
                </c:pt>
                <c:pt idx="3">
                  <c:v>46185.218055555553</c:v>
                </c:pt>
                <c:pt idx="4">
                  <c:v>46185.224305555559</c:v>
                </c:pt>
                <c:pt idx="5">
                  <c:v>46185.23333333333</c:v>
                </c:pt>
                <c:pt idx="6">
                  <c:v>46185.895293248053</c:v>
                </c:pt>
                <c:pt idx="7">
                  <c:v>46185.94918325411</c:v>
                </c:pt>
                <c:pt idx="8">
                  <c:v>46186.129861111112</c:v>
                </c:pt>
                <c:pt idx="9">
                  <c:v>46186.146527777775</c:v>
                </c:pt>
                <c:pt idx="10">
                  <c:v>46186.159722222219</c:v>
                </c:pt>
              </c:numCache>
            </c:numRef>
          </c:xVal>
          <c:yVal>
            <c:numRef>
              <c:f>Poeng!$G$2:$G$29</c:f>
              <c:numCache>
                <c:formatCode>General</c:formatCode>
                <c:ptCount val="28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8</c:v>
                </c:pt>
                <c:pt idx="5">
                  <c:v>3</c:v>
                </c:pt>
                <c:pt idx="6">
                  <c:v>6</c:v>
                </c:pt>
                <c:pt idx="7">
                  <c:v>3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3F1-4FA8-8221-D8A006190919}"/>
            </c:ext>
          </c:extLst>
        </c:ser>
        <c:ser>
          <c:idx val="6"/>
          <c:order val="6"/>
          <c:tx>
            <c:strRef>
              <c:f>Poeng!$H$1</c:f>
              <c:strCache>
                <c:ptCount val="1"/>
                <c:pt idx="0">
                  <c:v>Jan Erik</c:v>
                </c:pt>
              </c:strCache>
            </c:strRef>
          </c:tx>
          <c:spPr>
            <a:ln w="63500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Poeng!$A$2:$A$29</c:f>
              <c:numCache>
                <c:formatCode>dd/mm\ hh:mm</c:formatCode>
                <c:ptCount val="28"/>
                <c:pt idx="0">
                  <c:v>46184.875</c:v>
                </c:pt>
                <c:pt idx="1">
                  <c:v>46184.881249999999</c:v>
                </c:pt>
                <c:pt idx="2">
                  <c:v>46184.93472222222</c:v>
                </c:pt>
                <c:pt idx="3">
                  <c:v>46185.218055555553</c:v>
                </c:pt>
                <c:pt idx="4">
                  <c:v>46185.224305555559</c:v>
                </c:pt>
                <c:pt idx="5">
                  <c:v>46185.23333333333</c:v>
                </c:pt>
                <c:pt idx="6">
                  <c:v>46185.895293248053</c:v>
                </c:pt>
                <c:pt idx="7">
                  <c:v>46185.94918325411</c:v>
                </c:pt>
                <c:pt idx="8">
                  <c:v>46186.129861111112</c:v>
                </c:pt>
                <c:pt idx="9">
                  <c:v>46186.146527777775</c:v>
                </c:pt>
                <c:pt idx="10">
                  <c:v>46186.159722222219</c:v>
                </c:pt>
              </c:numCache>
            </c:numRef>
          </c:xVal>
          <c:yVal>
            <c:numRef>
              <c:f>Poeng!$H$2:$H$29</c:f>
              <c:numCache>
                <c:formatCode>General</c:formatCode>
                <c:ptCount val="28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6</c:v>
                </c:pt>
                <c:pt idx="6">
                  <c:v>9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3F1-4FA8-8221-D8A006190919}"/>
            </c:ext>
          </c:extLst>
        </c:ser>
        <c:ser>
          <c:idx val="7"/>
          <c:order val="7"/>
          <c:tx>
            <c:strRef>
              <c:f>Poeng!$I$1</c:f>
              <c:strCache>
                <c:ptCount val="1"/>
                <c:pt idx="0">
                  <c:v>Mari</c:v>
                </c:pt>
              </c:strCache>
            </c:strRef>
          </c:tx>
          <c:spPr>
            <a:ln w="63500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Poeng!$A$2:$A$29</c:f>
              <c:numCache>
                <c:formatCode>dd/mm\ hh:mm</c:formatCode>
                <c:ptCount val="28"/>
                <c:pt idx="0">
                  <c:v>46184.875</c:v>
                </c:pt>
                <c:pt idx="1">
                  <c:v>46184.881249999999</c:v>
                </c:pt>
                <c:pt idx="2">
                  <c:v>46184.93472222222</c:v>
                </c:pt>
                <c:pt idx="3">
                  <c:v>46185.218055555553</c:v>
                </c:pt>
                <c:pt idx="4">
                  <c:v>46185.224305555559</c:v>
                </c:pt>
                <c:pt idx="5">
                  <c:v>46185.23333333333</c:v>
                </c:pt>
                <c:pt idx="6">
                  <c:v>46185.895293248053</c:v>
                </c:pt>
                <c:pt idx="7">
                  <c:v>46185.94918325411</c:v>
                </c:pt>
                <c:pt idx="8">
                  <c:v>46186.129861111112</c:v>
                </c:pt>
                <c:pt idx="9">
                  <c:v>46186.146527777775</c:v>
                </c:pt>
                <c:pt idx="10">
                  <c:v>46186.159722222219</c:v>
                </c:pt>
              </c:numCache>
            </c:numRef>
          </c:xVal>
          <c:yVal>
            <c:numRef>
              <c:f>Poeng!$I$2:$I$29</c:f>
              <c:numCache>
                <c:formatCode>General</c:formatCode>
                <c:ptCount val="28"/>
                <c:pt idx="0">
                  <c:v>0</c:v>
                </c:pt>
                <c:pt idx="1">
                  <c:v>5</c:v>
                </c:pt>
                <c:pt idx="2">
                  <c:v>3</c:v>
                </c:pt>
                <c:pt idx="3">
                  <c:v>6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3F1-4FA8-8221-D8A006190919}"/>
            </c:ext>
          </c:extLst>
        </c:ser>
        <c:ser>
          <c:idx val="8"/>
          <c:order val="8"/>
          <c:tx>
            <c:strRef>
              <c:f>Poeng!$J$1</c:f>
              <c:strCache>
                <c:ptCount val="1"/>
                <c:pt idx="0">
                  <c:v>Oda</c:v>
                </c:pt>
              </c:strCache>
            </c:strRef>
          </c:tx>
          <c:spPr>
            <a:ln w="63500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Poeng!$A$2:$A$29</c:f>
              <c:numCache>
                <c:formatCode>dd/mm\ hh:mm</c:formatCode>
                <c:ptCount val="28"/>
                <c:pt idx="0">
                  <c:v>46184.875</c:v>
                </c:pt>
                <c:pt idx="1">
                  <c:v>46184.881249999999</c:v>
                </c:pt>
                <c:pt idx="2">
                  <c:v>46184.93472222222</c:v>
                </c:pt>
                <c:pt idx="3">
                  <c:v>46185.218055555553</c:v>
                </c:pt>
                <c:pt idx="4">
                  <c:v>46185.224305555559</c:v>
                </c:pt>
                <c:pt idx="5">
                  <c:v>46185.23333333333</c:v>
                </c:pt>
                <c:pt idx="6">
                  <c:v>46185.895293248053</c:v>
                </c:pt>
                <c:pt idx="7">
                  <c:v>46185.94918325411</c:v>
                </c:pt>
                <c:pt idx="8">
                  <c:v>46186.129861111112</c:v>
                </c:pt>
                <c:pt idx="9">
                  <c:v>46186.146527777775</c:v>
                </c:pt>
                <c:pt idx="10">
                  <c:v>46186.159722222219</c:v>
                </c:pt>
              </c:numCache>
            </c:numRef>
          </c:xVal>
          <c:yVal>
            <c:numRef>
              <c:f>Poeng!$J$2:$J$29</c:f>
              <c:numCache>
                <c:formatCode>General</c:formatCode>
                <c:ptCount val="28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6</c:v>
                </c:pt>
                <c:pt idx="5">
                  <c:v>3</c:v>
                </c:pt>
                <c:pt idx="6">
                  <c:v>6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3F1-4FA8-8221-D8A006190919}"/>
            </c:ext>
          </c:extLst>
        </c:ser>
        <c:ser>
          <c:idx val="9"/>
          <c:order val="9"/>
          <c:tx>
            <c:strRef>
              <c:f>Poeng!$K$1</c:f>
              <c:strCache>
                <c:ptCount val="1"/>
                <c:pt idx="0">
                  <c:v>Pål</c:v>
                </c:pt>
              </c:strCache>
            </c:strRef>
          </c:tx>
          <c:spPr>
            <a:ln w="63500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Poeng!$A$2:$A$29</c:f>
              <c:numCache>
                <c:formatCode>dd/mm\ hh:mm</c:formatCode>
                <c:ptCount val="28"/>
                <c:pt idx="0">
                  <c:v>46184.875</c:v>
                </c:pt>
                <c:pt idx="1">
                  <c:v>46184.881249999999</c:v>
                </c:pt>
                <c:pt idx="2">
                  <c:v>46184.93472222222</c:v>
                </c:pt>
                <c:pt idx="3">
                  <c:v>46185.218055555553</c:v>
                </c:pt>
                <c:pt idx="4">
                  <c:v>46185.224305555559</c:v>
                </c:pt>
                <c:pt idx="5">
                  <c:v>46185.23333333333</c:v>
                </c:pt>
                <c:pt idx="6">
                  <c:v>46185.895293248053</c:v>
                </c:pt>
                <c:pt idx="7">
                  <c:v>46185.94918325411</c:v>
                </c:pt>
                <c:pt idx="8">
                  <c:v>46186.129861111112</c:v>
                </c:pt>
                <c:pt idx="9">
                  <c:v>46186.146527777775</c:v>
                </c:pt>
                <c:pt idx="10">
                  <c:v>46186.159722222219</c:v>
                </c:pt>
              </c:numCache>
            </c:numRef>
          </c:xVal>
          <c:yVal>
            <c:numRef>
              <c:f>Poeng!$K$2:$K$29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3F1-4FA8-8221-D8A006190919}"/>
            </c:ext>
          </c:extLst>
        </c:ser>
        <c:ser>
          <c:idx val="10"/>
          <c:order val="10"/>
          <c:tx>
            <c:strRef>
              <c:f>Poeng!$L$1</c:f>
              <c:strCache>
                <c:ptCount val="1"/>
                <c:pt idx="0">
                  <c:v>Tore</c:v>
                </c:pt>
              </c:strCache>
            </c:strRef>
          </c:tx>
          <c:spPr>
            <a:ln w="63500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Poeng!$A$2:$A$29</c:f>
              <c:numCache>
                <c:formatCode>dd/mm\ hh:mm</c:formatCode>
                <c:ptCount val="28"/>
                <c:pt idx="0">
                  <c:v>46184.875</c:v>
                </c:pt>
                <c:pt idx="1">
                  <c:v>46184.881249999999</c:v>
                </c:pt>
                <c:pt idx="2">
                  <c:v>46184.93472222222</c:v>
                </c:pt>
                <c:pt idx="3">
                  <c:v>46185.218055555553</c:v>
                </c:pt>
                <c:pt idx="4">
                  <c:v>46185.224305555559</c:v>
                </c:pt>
                <c:pt idx="5">
                  <c:v>46185.23333333333</c:v>
                </c:pt>
                <c:pt idx="6">
                  <c:v>46185.895293248053</c:v>
                </c:pt>
                <c:pt idx="7">
                  <c:v>46185.94918325411</c:v>
                </c:pt>
                <c:pt idx="8">
                  <c:v>46186.129861111112</c:v>
                </c:pt>
                <c:pt idx="9">
                  <c:v>46186.146527777775</c:v>
                </c:pt>
                <c:pt idx="10">
                  <c:v>46186.159722222219</c:v>
                </c:pt>
              </c:numCache>
            </c:numRef>
          </c:xVal>
          <c:yVal>
            <c:numRef>
              <c:f>Poeng!$L$2:$L$29</c:f>
              <c:numCache>
                <c:formatCode>General</c:formatCode>
                <c:ptCount val="28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9</c:v>
                </c:pt>
                <c:pt idx="9">
                  <c:v>11</c:v>
                </c:pt>
                <c:pt idx="10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3F1-4FA8-8221-D8A006190919}"/>
            </c:ext>
          </c:extLst>
        </c:ser>
        <c:ser>
          <c:idx val="11"/>
          <c:order val="11"/>
          <c:tx>
            <c:strRef>
              <c:f>Poeng!$M$1</c:f>
              <c:strCache>
                <c:ptCount val="1"/>
                <c:pt idx="0">
                  <c:v>Torstein</c:v>
                </c:pt>
              </c:strCache>
            </c:strRef>
          </c:tx>
          <c:spPr>
            <a:ln w="63500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Poeng!$A$2:$A$29</c:f>
              <c:numCache>
                <c:formatCode>dd/mm\ hh:mm</c:formatCode>
                <c:ptCount val="28"/>
                <c:pt idx="0">
                  <c:v>46184.875</c:v>
                </c:pt>
                <c:pt idx="1">
                  <c:v>46184.881249999999</c:v>
                </c:pt>
                <c:pt idx="2">
                  <c:v>46184.93472222222</c:v>
                </c:pt>
                <c:pt idx="3">
                  <c:v>46185.218055555553</c:v>
                </c:pt>
                <c:pt idx="4">
                  <c:v>46185.224305555559</c:v>
                </c:pt>
                <c:pt idx="5">
                  <c:v>46185.23333333333</c:v>
                </c:pt>
                <c:pt idx="6">
                  <c:v>46185.895293248053</c:v>
                </c:pt>
                <c:pt idx="7">
                  <c:v>46185.94918325411</c:v>
                </c:pt>
                <c:pt idx="8">
                  <c:v>46186.129861111112</c:v>
                </c:pt>
                <c:pt idx="9">
                  <c:v>46186.146527777775</c:v>
                </c:pt>
                <c:pt idx="10">
                  <c:v>46186.159722222219</c:v>
                </c:pt>
              </c:numCache>
            </c:numRef>
          </c:xVal>
          <c:yVal>
            <c:numRef>
              <c:f>Poeng!$M$2:$M$29</c:f>
              <c:numCache>
                <c:formatCode>General</c:formatCode>
                <c:ptCount val="28"/>
                <c:pt idx="0">
                  <c:v>0</c:v>
                </c:pt>
                <c:pt idx="1">
                  <c:v>3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8</c:v>
                </c:pt>
                <c:pt idx="6">
                  <c:v>13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3F1-4FA8-8221-D8A006190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210400"/>
        <c:axId val="218217120"/>
      </c:scatterChart>
      <c:valAx>
        <c:axId val="21821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dd/mm\ h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218217120"/>
        <c:crosses val="autoZero"/>
        <c:crossBetween val="midCat"/>
      </c:valAx>
      <c:valAx>
        <c:axId val="21821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218210400"/>
        <c:crosses val="autoZero"/>
        <c:crossBetween val="midCat"/>
      </c:valAx>
      <c:spPr>
        <a:noFill/>
        <a:ln>
          <a:solidFill>
            <a:schemeClr val="tx1"/>
          </a:solidFill>
        </a:ln>
      </c:spPr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Plotting!$B$1</c:f>
              <c:strCache>
                <c:ptCount val="1"/>
                <c:pt idx="0">
                  <c:v>Andreas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Plotting!$A$2:$A$22</c:f>
              <c:numCache>
                <c:formatCode>[$-F400]h:mm:ss\ AM/PM</c:formatCode>
                <c:ptCount val="21"/>
                <c:pt idx="0">
                  <c:v>46184.875</c:v>
                </c:pt>
                <c:pt idx="1">
                  <c:v>46184.875</c:v>
                </c:pt>
                <c:pt idx="2">
                  <c:v>46184.881249999999</c:v>
                </c:pt>
                <c:pt idx="3">
                  <c:v>46184.881249999999</c:v>
                </c:pt>
                <c:pt idx="4">
                  <c:v>46184.93472222222</c:v>
                </c:pt>
                <c:pt idx="5">
                  <c:v>46184.93472222222</c:v>
                </c:pt>
                <c:pt idx="6">
                  <c:v>46185.218055555553</c:v>
                </c:pt>
                <c:pt idx="7">
                  <c:v>46185.218055555553</c:v>
                </c:pt>
                <c:pt idx="8">
                  <c:v>46185.224305555559</c:v>
                </c:pt>
                <c:pt idx="9">
                  <c:v>46185.224305555559</c:v>
                </c:pt>
                <c:pt idx="10">
                  <c:v>46185.23333333333</c:v>
                </c:pt>
                <c:pt idx="11">
                  <c:v>46185.23333333333</c:v>
                </c:pt>
                <c:pt idx="12">
                  <c:v>46185.895293248053</c:v>
                </c:pt>
                <c:pt idx="13">
                  <c:v>46185.895293248053</c:v>
                </c:pt>
                <c:pt idx="14">
                  <c:v>46185.94918325411</c:v>
                </c:pt>
                <c:pt idx="15">
                  <c:v>46185.94918325411</c:v>
                </c:pt>
                <c:pt idx="16">
                  <c:v>46186.129861111112</c:v>
                </c:pt>
                <c:pt idx="17">
                  <c:v>46186.129861111112</c:v>
                </c:pt>
                <c:pt idx="18">
                  <c:v>46186.146527777775</c:v>
                </c:pt>
                <c:pt idx="19">
                  <c:v>46186.146527777775</c:v>
                </c:pt>
                <c:pt idx="20">
                  <c:v>46186.159722222219</c:v>
                </c:pt>
              </c:numCache>
            </c:numRef>
          </c:xVal>
          <c:yVal>
            <c:numRef>
              <c:f>Plotting!$B$2:$B$22</c:f>
              <c:numCache>
                <c:formatCode>0</c:formatCode>
                <c:ptCount val="21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8</c:v>
                </c:pt>
                <c:pt idx="8">
                  <c:v>8</c:v>
                </c:pt>
                <c:pt idx="9">
                  <c:v>5</c:v>
                </c:pt>
                <c:pt idx="10">
                  <c:v>5</c:v>
                </c:pt>
                <c:pt idx="11">
                  <c:v>10</c:v>
                </c:pt>
                <c:pt idx="12">
                  <c:v>10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E5-4B9F-B963-8FE0511E7182}"/>
            </c:ext>
          </c:extLst>
        </c:ser>
        <c:ser>
          <c:idx val="1"/>
          <c:order val="1"/>
          <c:tx>
            <c:strRef>
              <c:f>Plotting!$C$1</c:f>
              <c:strCache>
                <c:ptCount val="1"/>
                <c:pt idx="0">
                  <c:v>Christian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Plotting!$A$2:$A$22</c:f>
              <c:numCache>
                <c:formatCode>[$-F400]h:mm:ss\ AM/PM</c:formatCode>
                <c:ptCount val="21"/>
                <c:pt idx="0">
                  <c:v>46184.875</c:v>
                </c:pt>
                <c:pt idx="1">
                  <c:v>46184.875</c:v>
                </c:pt>
                <c:pt idx="2">
                  <c:v>46184.881249999999</c:v>
                </c:pt>
                <c:pt idx="3">
                  <c:v>46184.881249999999</c:v>
                </c:pt>
                <c:pt idx="4">
                  <c:v>46184.93472222222</c:v>
                </c:pt>
                <c:pt idx="5">
                  <c:v>46184.93472222222</c:v>
                </c:pt>
                <c:pt idx="6">
                  <c:v>46185.218055555553</c:v>
                </c:pt>
                <c:pt idx="7">
                  <c:v>46185.218055555553</c:v>
                </c:pt>
                <c:pt idx="8">
                  <c:v>46185.224305555559</c:v>
                </c:pt>
                <c:pt idx="9">
                  <c:v>46185.224305555559</c:v>
                </c:pt>
                <c:pt idx="10">
                  <c:v>46185.23333333333</c:v>
                </c:pt>
                <c:pt idx="11">
                  <c:v>46185.23333333333</c:v>
                </c:pt>
                <c:pt idx="12">
                  <c:v>46185.895293248053</c:v>
                </c:pt>
                <c:pt idx="13">
                  <c:v>46185.895293248053</c:v>
                </c:pt>
                <c:pt idx="14">
                  <c:v>46185.94918325411</c:v>
                </c:pt>
                <c:pt idx="15">
                  <c:v>46185.94918325411</c:v>
                </c:pt>
                <c:pt idx="16">
                  <c:v>46186.129861111112</c:v>
                </c:pt>
                <c:pt idx="17">
                  <c:v>46186.129861111112</c:v>
                </c:pt>
                <c:pt idx="18">
                  <c:v>46186.146527777775</c:v>
                </c:pt>
                <c:pt idx="19">
                  <c:v>46186.146527777775</c:v>
                </c:pt>
                <c:pt idx="20">
                  <c:v>46186.159722222219</c:v>
                </c:pt>
              </c:numCache>
            </c:numRef>
          </c:xVal>
          <c:yVal>
            <c:numRef>
              <c:f>Plotting!$C$2:$C$22</c:f>
              <c:numCache>
                <c:formatCode>0</c:formatCode>
                <c:ptCount val="21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6</c:v>
                </c:pt>
                <c:pt idx="10">
                  <c:v>6</c:v>
                </c:pt>
                <c:pt idx="11">
                  <c:v>9</c:v>
                </c:pt>
                <c:pt idx="12">
                  <c:v>9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E5-4B9F-B963-8FE0511E7182}"/>
            </c:ext>
          </c:extLst>
        </c:ser>
        <c:ser>
          <c:idx val="2"/>
          <c:order val="2"/>
          <c:tx>
            <c:strRef>
              <c:f>Plotting!$D$1</c:f>
              <c:strCache>
                <c:ptCount val="1"/>
                <c:pt idx="0">
                  <c:v>Erlend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Plotting!$A$2:$A$22</c:f>
              <c:numCache>
                <c:formatCode>[$-F400]h:mm:ss\ AM/PM</c:formatCode>
                <c:ptCount val="21"/>
                <c:pt idx="0">
                  <c:v>46184.875</c:v>
                </c:pt>
                <c:pt idx="1">
                  <c:v>46184.875</c:v>
                </c:pt>
                <c:pt idx="2">
                  <c:v>46184.881249999999</c:v>
                </c:pt>
                <c:pt idx="3">
                  <c:v>46184.881249999999</c:v>
                </c:pt>
                <c:pt idx="4">
                  <c:v>46184.93472222222</c:v>
                </c:pt>
                <c:pt idx="5">
                  <c:v>46184.93472222222</c:v>
                </c:pt>
                <c:pt idx="6">
                  <c:v>46185.218055555553</c:v>
                </c:pt>
                <c:pt idx="7">
                  <c:v>46185.218055555553</c:v>
                </c:pt>
                <c:pt idx="8">
                  <c:v>46185.224305555559</c:v>
                </c:pt>
                <c:pt idx="9">
                  <c:v>46185.224305555559</c:v>
                </c:pt>
                <c:pt idx="10">
                  <c:v>46185.23333333333</c:v>
                </c:pt>
                <c:pt idx="11">
                  <c:v>46185.23333333333</c:v>
                </c:pt>
                <c:pt idx="12">
                  <c:v>46185.895293248053</c:v>
                </c:pt>
                <c:pt idx="13">
                  <c:v>46185.895293248053</c:v>
                </c:pt>
                <c:pt idx="14">
                  <c:v>46185.94918325411</c:v>
                </c:pt>
                <c:pt idx="15">
                  <c:v>46185.94918325411</c:v>
                </c:pt>
                <c:pt idx="16">
                  <c:v>46186.129861111112</c:v>
                </c:pt>
                <c:pt idx="17">
                  <c:v>46186.129861111112</c:v>
                </c:pt>
                <c:pt idx="18">
                  <c:v>46186.146527777775</c:v>
                </c:pt>
                <c:pt idx="19">
                  <c:v>46186.146527777775</c:v>
                </c:pt>
                <c:pt idx="20">
                  <c:v>46186.159722222219</c:v>
                </c:pt>
              </c:numCache>
            </c:numRef>
          </c:xVal>
          <c:yVal>
            <c:numRef>
              <c:f>Plotting!$D$2:$D$22</c:f>
              <c:numCache>
                <c:formatCode>0</c:formatCode>
                <c:ptCount val="21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AE5-4B9F-B963-8FE0511E7182}"/>
            </c:ext>
          </c:extLst>
        </c:ser>
        <c:ser>
          <c:idx val="3"/>
          <c:order val="3"/>
          <c:tx>
            <c:strRef>
              <c:f>Plotting!$E$1</c:f>
              <c:strCache>
                <c:ptCount val="1"/>
                <c:pt idx="0">
                  <c:v>Hallvard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Plotting!$A$2:$A$22</c:f>
              <c:numCache>
                <c:formatCode>[$-F400]h:mm:ss\ AM/PM</c:formatCode>
                <c:ptCount val="21"/>
                <c:pt idx="0">
                  <c:v>46184.875</c:v>
                </c:pt>
                <c:pt idx="1">
                  <c:v>46184.875</c:v>
                </c:pt>
                <c:pt idx="2">
                  <c:v>46184.881249999999</c:v>
                </c:pt>
                <c:pt idx="3">
                  <c:v>46184.881249999999</c:v>
                </c:pt>
                <c:pt idx="4">
                  <c:v>46184.93472222222</c:v>
                </c:pt>
                <c:pt idx="5">
                  <c:v>46184.93472222222</c:v>
                </c:pt>
                <c:pt idx="6">
                  <c:v>46185.218055555553</c:v>
                </c:pt>
                <c:pt idx="7">
                  <c:v>46185.218055555553</c:v>
                </c:pt>
                <c:pt idx="8">
                  <c:v>46185.224305555559</c:v>
                </c:pt>
                <c:pt idx="9">
                  <c:v>46185.224305555559</c:v>
                </c:pt>
                <c:pt idx="10">
                  <c:v>46185.23333333333</c:v>
                </c:pt>
                <c:pt idx="11">
                  <c:v>46185.23333333333</c:v>
                </c:pt>
                <c:pt idx="12">
                  <c:v>46185.895293248053</c:v>
                </c:pt>
                <c:pt idx="13">
                  <c:v>46185.895293248053</c:v>
                </c:pt>
                <c:pt idx="14">
                  <c:v>46185.94918325411</c:v>
                </c:pt>
                <c:pt idx="15">
                  <c:v>46185.94918325411</c:v>
                </c:pt>
                <c:pt idx="16">
                  <c:v>46186.129861111112</c:v>
                </c:pt>
                <c:pt idx="17">
                  <c:v>46186.129861111112</c:v>
                </c:pt>
                <c:pt idx="18">
                  <c:v>46186.146527777775</c:v>
                </c:pt>
                <c:pt idx="19">
                  <c:v>46186.146527777775</c:v>
                </c:pt>
                <c:pt idx="20">
                  <c:v>46186.159722222219</c:v>
                </c:pt>
              </c:numCache>
            </c:numRef>
          </c:xVal>
          <c:yVal>
            <c:numRef>
              <c:f>Plotting!$E$2:$E$22</c:f>
              <c:numCache>
                <c:formatCode>0</c:formatCode>
                <c:ptCount val="21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6</c:v>
                </c:pt>
                <c:pt idx="8">
                  <c:v>6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AE5-4B9F-B963-8FE0511E7182}"/>
            </c:ext>
          </c:extLst>
        </c:ser>
        <c:ser>
          <c:idx val="4"/>
          <c:order val="4"/>
          <c:tx>
            <c:strRef>
              <c:f>Plotting!$F$1</c:f>
              <c:strCache>
                <c:ptCount val="1"/>
                <c:pt idx="0">
                  <c:v>Harald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Plotting!$A$2:$A$22</c:f>
              <c:numCache>
                <c:formatCode>[$-F400]h:mm:ss\ AM/PM</c:formatCode>
                <c:ptCount val="21"/>
                <c:pt idx="0">
                  <c:v>46184.875</c:v>
                </c:pt>
                <c:pt idx="1">
                  <c:v>46184.875</c:v>
                </c:pt>
                <c:pt idx="2">
                  <c:v>46184.881249999999</c:v>
                </c:pt>
                <c:pt idx="3">
                  <c:v>46184.881249999999</c:v>
                </c:pt>
                <c:pt idx="4">
                  <c:v>46184.93472222222</c:v>
                </c:pt>
                <c:pt idx="5">
                  <c:v>46184.93472222222</c:v>
                </c:pt>
                <c:pt idx="6">
                  <c:v>46185.218055555553</c:v>
                </c:pt>
                <c:pt idx="7">
                  <c:v>46185.218055555553</c:v>
                </c:pt>
                <c:pt idx="8">
                  <c:v>46185.224305555559</c:v>
                </c:pt>
                <c:pt idx="9">
                  <c:v>46185.224305555559</c:v>
                </c:pt>
                <c:pt idx="10">
                  <c:v>46185.23333333333</c:v>
                </c:pt>
                <c:pt idx="11">
                  <c:v>46185.23333333333</c:v>
                </c:pt>
                <c:pt idx="12">
                  <c:v>46185.895293248053</c:v>
                </c:pt>
                <c:pt idx="13">
                  <c:v>46185.895293248053</c:v>
                </c:pt>
                <c:pt idx="14">
                  <c:v>46185.94918325411</c:v>
                </c:pt>
                <c:pt idx="15">
                  <c:v>46185.94918325411</c:v>
                </c:pt>
                <c:pt idx="16">
                  <c:v>46186.129861111112</c:v>
                </c:pt>
                <c:pt idx="17">
                  <c:v>46186.129861111112</c:v>
                </c:pt>
                <c:pt idx="18">
                  <c:v>46186.146527777775</c:v>
                </c:pt>
                <c:pt idx="19">
                  <c:v>46186.146527777775</c:v>
                </c:pt>
                <c:pt idx="20">
                  <c:v>46186.159722222219</c:v>
                </c:pt>
              </c:numCache>
            </c:numRef>
          </c:xVal>
          <c:yVal>
            <c:numRef>
              <c:f>Plotting!$F$2:$F$22</c:f>
              <c:numCache>
                <c:formatCode>0</c:formatCode>
                <c:ptCount val="21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11</c:v>
                </c:pt>
                <c:pt idx="16">
                  <c:v>11</c:v>
                </c:pt>
                <c:pt idx="17">
                  <c:v>13</c:v>
                </c:pt>
                <c:pt idx="18">
                  <c:v>13</c:v>
                </c:pt>
                <c:pt idx="19">
                  <c:v>11</c:v>
                </c:pt>
                <c:pt idx="2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AE5-4B9F-B963-8FE0511E7182}"/>
            </c:ext>
          </c:extLst>
        </c:ser>
        <c:ser>
          <c:idx val="5"/>
          <c:order val="5"/>
          <c:tx>
            <c:strRef>
              <c:f>Plotting!$G$1</c:f>
              <c:strCache>
                <c:ptCount val="1"/>
                <c:pt idx="0">
                  <c:v>Helena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Plotting!$A$2:$A$22</c:f>
              <c:numCache>
                <c:formatCode>[$-F400]h:mm:ss\ AM/PM</c:formatCode>
                <c:ptCount val="21"/>
                <c:pt idx="0">
                  <c:v>46184.875</c:v>
                </c:pt>
                <c:pt idx="1">
                  <c:v>46184.875</c:v>
                </c:pt>
                <c:pt idx="2">
                  <c:v>46184.881249999999</c:v>
                </c:pt>
                <c:pt idx="3">
                  <c:v>46184.881249999999</c:v>
                </c:pt>
                <c:pt idx="4">
                  <c:v>46184.93472222222</c:v>
                </c:pt>
                <c:pt idx="5">
                  <c:v>46184.93472222222</c:v>
                </c:pt>
                <c:pt idx="6">
                  <c:v>46185.218055555553</c:v>
                </c:pt>
                <c:pt idx="7">
                  <c:v>46185.218055555553</c:v>
                </c:pt>
                <c:pt idx="8">
                  <c:v>46185.224305555559</c:v>
                </c:pt>
                <c:pt idx="9">
                  <c:v>46185.224305555559</c:v>
                </c:pt>
                <c:pt idx="10">
                  <c:v>46185.23333333333</c:v>
                </c:pt>
                <c:pt idx="11">
                  <c:v>46185.23333333333</c:v>
                </c:pt>
                <c:pt idx="12">
                  <c:v>46185.895293248053</c:v>
                </c:pt>
                <c:pt idx="13">
                  <c:v>46185.895293248053</c:v>
                </c:pt>
                <c:pt idx="14">
                  <c:v>46185.94918325411</c:v>
                </c:pt>
                <c:pt idx="15">
                  <c:v>46185.94918325411</c:v>
                </c:pt>
                <c:pt idx="16">
                  <c:v>46186.129861111112</c:v>
                </c:pt>
                <c:pt idx="17">
                  <c:v>46186.129861111112</c:v>
                </c:pt>
                <c:pt idx="18">
                  <c:v>46186.146527777775</c:v>
                </c:pt>
                <c:pt idx="19">
                  <c:v>46186.146527777775</c:v>
                </c:pt>
                <c:pt idx="20">
                  <c:v>46186.159722222219</c:v>
                </c:pt>
              </c:numCache>
            </c:numRef>
          </c:xVal>
          <c:yVal>
            <c:numRef>
              <c:f>Plotting!$G$2:$G$22</c:f>
              <c:numCache>
                <c:formatCode>0</c:formatCode>
                <c:ptCount val="21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8</c:v>
                </c:pt>
                <c:pt idx="8">
                  <c:v>8</c:v>
                </c:pt>
                <c:pt idx="9">
                  <c:v>3</c:v>
                </c:pt>
                <c:pt idx="10">
                  <c:v>3</c:v>
                </c:pt>
                <c:pt idx="11">
                  <c:v>6</c:v>
                </c:pt>
                <c:pt idx="12">
                  <c:v>6</c:v>
                </c:pt>
                <c:pt idx="13">
                  <c:v>3</c:v>
                </c:pt>
                <c:pt idx="14">
                  <c:v>3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AE5-4B9F-B963-8FE0511E7182}"/>
            </c:ext>
          </c:extLst>
        </c:ser>
        <c:ser>
          <c:idx val="6"/>
          <c:order val="6"/>
          <c:tx>
            <c:strRef>
              <c:f>Plotting!$H$1</c:f>
              <c:strCache>
                <c:ptCount val="1"/>
                <c:pt idx="0">
                  <c:v>Jan Erik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Plotting!$A$2:$A$22</c:f>
              <c:numCache>
                <c:formatCode>[$-F400]h:mm:ss\ AM/PM</c:formatCode>
                <c:ptCount val="21"/>
                <c:pt idx="0">
                  <c:v>46184.875</c:v>
                </c:pt>
                <c:pt idx="1">
                  <c:v>46184.875</c:v>
                </c:pt>
                <c:pt idx="2">
                  <c:v>46184.881249999999</c:v>
                </c:pt>
                <c:pt idx="3">
                  <c:v>46184.881249999999</c:v>
                </c:pt>
                <c:pt idx="4">
                  <c:v>46184.93472222222</c:v>
                </c:pt>
                <c:pt idx="5">
                  <c:v>46184.93472222222</c:v>
                </c:pt>
                <c:pt idx="6">
                  <c:v>46185.218055555553</c:v>
                </c:pt>
                <c:pt idx="7">
                  <c:v>46185.218055555553</c:v>
                </c:pt>
                <c:pt idx="8">
                  <c:v>46185.224305555559</c:v>
                </c:pt>
                <c:pt idx="9">
                  <c:v>46185.224305555559</c:v>
                </c:pt>
                <c:pt idx="10">
                  <c:v>46185.23333333333</c:v>
                </c:pt>
                <c:pt idx="11">
                  <c:v>46185.23333333333</c:v>
                </c:pt>
                <c:pt idx="12">
                  <c:v>46185.895293248053</c:v>
                </c:pt>
                <c:pt idx="13">
                  <c:v>46185.895293248053</c:v>
                </c:pt>
                <c:pt idx="14">
                  <c:v>46185.94918325411</c:v>
                </c:pt>
                <c:pt idx="15">
                  <c:v>46185.94918325411</c:v>
                </c:pt>
                <c:pt idx="16">
                  <c:v>46186.129861111112</c:v>
                </c:pt>
                <c:pt idx="17">
                  <c:v>46186.129861111112</c:v>
                </c:pt>
                <c:pt idx="18">
                  <c:v>46186.146527777775</c:v>
                </c:pt>
                <c:pt idx="19">
                  <c:v>46186.146527777775</c:v>
                </c:pt>
                <c:pt idx="20">
                  <c:v>46186.159722222219</c:v>
                </c:pt>
              </c:numCache>
            </c:numRef>
          </c:xVal>
          <c:yVal>
            <c:numRef>
              <c:f>Plotting!$H$2:$H$22</c:f>
              <c:numCache>
                <c:formatCode>0</c:formatCode>
                <c:ptCount val="21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6</c:v>
                </c:pt>
                <c:pt idx="10">
                  <c:v>6</c:v>
                </c:pt>
                <c:pt idx="11">
                  <c:v>9</c:v>
                </c:pt>
                <c:pt idx="12">
                  <c:v>9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AE5-4B9F-B963-8FE0511E7182}"/>
            </c:ext>
          </c:extLst>
        </c:ser>
        <c:ser>
          <c:idx val="7"/>
          <c:order val="7"/>
          <c:tx>
            <c:strRef>
              <c:f>Plotting!$I$1</c:f>
              <c:strCache>
                <c:ptCount val="1"/>
                <c:pt idx="0">
                  <c:v>Mari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Plotting!$A$2:$A$22</c:f>
              <c:numCache>
                <c:formatCode>[$-F400]h:mm:ss\ AM/PM</c:formatCode>
                <c:ptCount val="21"/>
                <c:pt idx="0">
                  <c:v>46184.875</c:v>
                </c:pt>
                <c:pt idx="1">
                  <c:v>46184.875</c:v>
                </c:pt>
                <c:pt idx="2">
                  <c:v>46184.881249999999</c:v>
                </c:pt>
                <c:pt idx="3">
                  <c:v>46184.881249999999</c:v>
                </c:pt>
                <c:pt idx="4">
                  <c:v>46184.93472222222</c:v>
                </c:pt>
                <c:pt idx="5">
                  <c:v>46184.93472222222</c:v>
                </c:pt>
                <c:pt idx="6">
                  <c:v>46185.218055555553</c:v>
                </c:pt>
                <c:pt idx="7">
                  <c:v>46185.218055555553</c:v>
                </c:pt>
                <c:pt idx="8">
                  <c:v>46185.224305555559</c:v>
                </c:pt>
                <c:pt idx="9">
                  <c:v>46185.224305555559</c:v>
                </c:pt>
                <c:pt idx="10">
                  <c:v>46185.23333333333</c:v>
                </c:pt>
                <c:pt idx="11">
                  <c:v>46185.23333333333</c:v>
                </c:pt>
                <c:pt idx="12">
                  <c:v>46185.895293248053</c:v>
                </c:pt>
                <c:pt idx="13">
                  <c:v>46185.895293248053</c:v>
                </c:pt>
                <c:pt idx="14">
                  <c:v>46185.94918325411</c:v>
                </c:pt>
                <c:pt idx="15">
                  <c:v>46185.94918325411</c:v>
                </c:pt>
                <c:pt idx="16">
                  <c:v>46186.129861111112</c:v>
                </c:pt>
                <c:pt idx="17">
                  <c:v>46186.129861111112</c:v>
                </c:pt>
                <c:pt idx="18">
                  <c:v>46186.146527777775</c:v>
                </c:pt>
                <c:pt idx="19">
                  <c:v>46186.146527777775</c:v>
                </c:pt>
                <c:pt idx="20">
                  <c:v>46186.159722222219</c:v>
                </c:pt>
              </c:numCache>
            </c:numRef>
          </c:xVal>
          <c:yVal>
            <c:numRef>
              <c:f>Plotting!$I$2:$I$22</c:f>
              <c:numCache>
                <c:formatCode>0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3</c:v>
                </c:pt>
                <c:pt idx="4">
                  <c:v>3</c:v>
                </c:pt>
                <c:pt idx="5">
                  <c:v>6</c:v>
                </c:pt>
                <c:pt idx="6">
                  <c:v>6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AE5-4B9F-B963-8FE0511E7182}"/>
            </c:ext>
          </c:extLst>
        </c:ser>
        <c:ser>
          <c:idx val="8"/>
          <c:order val="8"/>
          <c:tx>
            <c:strRef>
              <c:f>Plotting!$J$1</c:f>
              <c:strCache>
                <c:ptCount val="1"/>
                <c:pt idx="0">
                  <c:v>Oda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Plotting!$A$2:$A$22</c:f>
              <c:numCache>
                <c:formatCode>[$-F400]h:mm:ss\ AM/PM</c:formatCode>
                <c:ptCount val="21"/>
                <c:pt idx="0">
                  <c:v>46184.875</c:v>
                </c:pt>
                <c:pt idx="1">
                  <c:v>46184.875</c:v>
                </c:pt>
                <c:pt idx="2">
                  <c:v>46184.881249999999</c:v>
                </c:pt>
                <c:pt idx="3">
                  <c:v>46184.881249999999</c:v>
                </c:pt>
                <c:pt idx="4">
                  <c:v>46184.93472222222</c:v>
                </c:pt>
                <c:pt idx="5">
                  <c:v>46184.93472222222</c:v>
                </c:pt>
                <c:pt idx="6">
                  <c:v>46185.218055555553</c:v>
                </c:pt>
                <c:pt idx="7">
                  <c:v>46185.218055555553</c:v>
                </c:pt>
                <c:pt idx="8">
                  <c:v>46185.224305555559</c:v>
                </c:pt>
                <c:pt idx="9">
                  <c:v>46185.224305555559</c:v>
                </c:pt>
                <c:pt idx="10">
                  <c:v>46185.23333333333</c:v>
                </c:pt>
                <c:pt idx="11">
                  <c:v>46185.23333333333</c:v>
                </c:pt>
                <c:pt idx="12">
                  <c:v>46185.895293248053</c:v>
                </c:pt>
                <c:pt idx="13">
                  <c:v>46185.895293248053</c:v>
                </c:pt>
                <c:pt idx="14">
                  <c:v>46185.94918325411</c:v>
                </c:pt>
                <c:pt idx="15">
                  <c:v>46185.94918325411</c:v>
                </c:pt>
                <c:pt idx="16">
                  <c:v>46186.129861111112</c:v>
                </c:pt>
                <c:pt idx="17">
                  <c:v>46186.129861111112</c:v>
                </c:pt>
                <c:pt idx="18">
                  <c:v>46186.146527777775</c:v>
                </c:pt>
                <c:pt idx="19">
                  <c:v>46186.146527777775</c:v>
                </c:pt>
                <c:pt idx="20">
                  <c:v>46186.159722222219</c:v>
                </c:pt>
              </c:numCache>
            </c:numRef>
          </c:xVal>
          <c:yVal>
            <c:numRef>
              <c:f>Plotting!$J$2:$J$22</c:f>
              <c:numCache>
                <c:formatCode>0</c:formatCode>
                <c:ptCount val="21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6</c:v>
                </c:pt>
                <c:pt idx="8">
                  <c:v>6</c:v>
                </c:pt>
                <c:pt idx="9">
                  <c:v>3</c:v>
                </c:pt>
                <c:pt idx="10">
                  <c:v>3</c:v>
                </c:pt>
                <c:pt idx="11">
                  <c:v>6</c:v>
                </c:pt>
                <c:pt idx="12">
                  <c:v>6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AE5-4B9F-B963-8FE0511E7182}"/>
            </c:ext>
          </c:extLst>
        </c:ser>
        <c:ser>
          <c:idx val="9"/>
          <c:order val="9"/>
          <c:tx>
            <c:strRef>
              <c:f>Plotting!$K$1</c:f>
              <c:strCache>
                <c:ptCount val="1"/>
                <c:pt idx="0">
                  <c:v>Pål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Plotting!$A$2:$A$22</c:f>
              <c:numCache>
                <c:formatCode>[$-F400]h:mm:ss\ AM/PM</c:formatCode>
                <c:ptCount val="21"/>
                <c:pt idx="0">
                  <c:v>46184.875</c:v>
                </c:pt>
                <c:pt idx="1">
                  <c:v>46184.875</c:v>
                </c:pt>
                <c:pt idx="2">
                  <c:v>46184.881249999999</c:v>
                </c:pt>
                <c:pt idx="3">
                  <c:v>46184.881249999999</c:v>
                </c:pt>
                <c:pt idx="4">
                  <c:v>46184.93472222222</c:v>
                </c:pt>
                <c:pt idx="5">
                  <c:v>46184.93472222222</c:v>
                </c:pt>
                <c:pt idx="6">
                  <c:v>46185.218055555553</c:v>
                </c:pt>
                <c:pt idx="7">
                  <c:v>46185.218055555553</c:v>
                </c:pt>
                <c:pt idx="8">
                  <c:v>46185.224305555559</c:v>
                </c:pt>
                <c:pt idx="9">
                  <c:v>46185.224305555559</c:v>
                </c:pt>
                <c:pt idx="10">
                  <c:v>46185.23333333333</c:v>
                </c:pt>
                <c:pt idx="11">
                  <c:v>46185.23333333333</c:v>
                </c:pt>
                <c:pt idx="12">
                  <c:v>46185.895293248053</c:v>
                </c:pt>
                <c:pt idx="13">
                  <c:v>46185.895293248053</c:v>
                </c:pt>
                <c:pt idx="14">
                  <c:v>46185.94918325411</c:v>
                </c:pt>
                <c:pt idx="15">
                  <c:v>46185.94918325411</c:v>
                </c:pt>
                <c:pt idx="16">
                  <c:v>46186.129861111112</c:v>
                </c:pt>
                <c:pt idx="17">
                  <c:v>46186.129861111112</c:v>
                </c:pt>
                <c:pt idx="18">
                  <c:v>46186.146527777775</c:v>
                </c:pt>
                <c:pt idx="19">
                  <c:v>46186.146527777775</c:v>
                </c:pt>
                <c:pt idx="20">
                  <c:v>46186.159722222219</c:v>
                </c:pt>
              </c:numCache>
            </c:numRef>
          </c:xVal>
          <c:yVal>
            <c:numRef>
              <c:f>Plotting!$K$2:$K$22</c:f>
              <c:numCache>
                <c:formatCode>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  <c:pt idx="12">
                  <c:v>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AE5-4B9F-B963-8FE0511E7182}"/>
            </c:ext>
          </c:extLst>
        </c:ser>
        <c:ser>
          <c:idx val="10"/>
          <c:order val="10"/>
          <c:tx>
            <c:strRef>
              <c:f>Plotting!$L$1</c:f>
              <c:strCache>
                <c:ptCount val="1"/>
                <c:pt idx="0">
                  <c:v>Tore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Plotting!$A$2:$A$22</c:f>
              <c:numCache>
                <c:formatCode>[$-F400]h:mm:ss\ AM/PM</c:formatCode>
                <c:ptCount val="21"/>
                <c:pt idx="0">
                  <c:v>46184.875</c:v>
                </c:pt>
                <c:pt idx="1">
                  <c:v>46184.875</c:v>
                </c:pt>
                <c:pt idx="2">
                  <c:v>46184.881249999999</c:v>
                </c:pt>
                <c:pt idx="3">
                  <c:v>46184.881249999999</c:v>
                </c:pt>
                <c:pt idx="4">
                  <c:v>46184.93472222222</c:v>
                </c:pt>
                <c:pt idx="5">
                  <c:v>46184.93472222222</c:v>
                </c:pt>
                <c:pt idx="6">
                  <c:v>46185.218055555553</c:v>
                </c:pt>
                <c:pt idx="7">
                  <c:v>46185.218055555553</c:v>
                </c:pt>
                <c:pt idx="8">
                  <c:v>46185.224305555559</c:v>
                </c:pt>
                <c:pt idx="9">
                  <c:v>46185.224305555559</c:v>
                </c:pt>
                <c:pt idx="10">
                  <c:v>46185.23333333333</c:v>
                </c:pt>
                <c:pt idx="11">
                  <c:v>46185.23333333333</c:v>
                </c:pt>
                <c:pt idx="12">
                  <c:v>46185.895293248053</c:v>
                </c:pt>
                <c:pt idx="13">
                  <c:v>46185.895293248053</c:v>
                </c:pt>
                <c:pt idx="14">
                  <c:v>46185.94918325411</c:v>
                </c:pt>
                <c:pt idx="15">
                  <c:v>46185.94918325411</c:v>
                </c:pt>
                <c:pt idx="16">
                  <c:v>46186.129861111112</c:v>
                </c:pt>
                <c:pt idx="17">
                  <c:v>46186.129861111112</c:v>
                </c:pt>
                <c:pt idx="18">
                  <c:v>46186.146527777775</c:v>
                </c:pt>
                <c:pt idx="19">
                  <c:v>46186.146527777775</c:v>
                </c:pt>
                <c:pt idx="20">
                  <c:v>46186.159722222219</c:v>
                </c:pt>
              </c:numCache>
            </c:numRef>
          </c:xVal>
          <c:yVal>
            <c:numRef>
              <c:f>Plotting!$L$2:$L$22</c:f>
              <c:numCache>
                <c:formatCode>0</c:formatCode>
                <c:ptCount val="21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9</c:v>
                </c:pt>
                <c:pt idx="16">
                  <c:v>9</c:v>
                </c:pt>
                <c:pt idx="17">
                  <c:v>11</c:v>
                </c:pt>
                <c:pt idx="18">
                  <c:v>11</c:v>
                </c:pt>
                <c:pt idx="19">
                  <c:v>9</c:v>
                </c:pt>
                <c:pt idx="20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AE5-4B9F-B963-8FE0511E7182}"/>
            </c:ext>
          </c:extLst>
        </c:ser>
        <c:ser>
          <c:idx val="11"/>
          <c:order val="11"/>
          <c:tx>
            <c:strRef>
              <c:f>Plotting!$M$1</c:f>
              <c:strCache>
                <c:ptCount val="1"/>
                <c:pt idx="0">
                  <c:v>Torstein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Plotting!$A$2:$A$22</c:f>
              <c:numCache>
                <c:formatCode>[$-F400]h:mm:ss\ AM/PM</c:formatCode>
                <c:ptCount val="21"/>
                <c:pt idx="0">
                  <c:v>46184.875</c:v>
                </c:pt>
                <c:pt idx="1">
                  <c:v>46184.875</c:v>
                </c:pt>
                <c:pt idx="2">
                  <c:v>46184.881249999999</c:v>
                </c:pt>
                <c:pt idx="3">
                  <c:v>46184.881249999999</c:v>
                </c:pt>
                <c:pt idx="4">
                  <c:v>46184.93472222222</c:v>
                </c:pt>
                <c:pt idx="5">
                  <c:v>46184.93472222222</c:v>
                </c:pt>
                <c:pt idx="6">
                  <c:v>46185.218055555553</c:v>
                </c:pt>
                <c:pt idx="7">
                  <c:v>46185.218055555553</c:v>
                </c:pt>
                <c:pt idx="8">
                  <c:v>46185.224305555559</c:v>
                </c:pt>
                <c:pt idx="9">
                  <c:v>46185.224305555559</c:v>
                </c:pt>
                <c:pt idx="10">
                  <c:v>46185.23333333333</c:v>
                </c:pt>
                <c:pt idx="11">
                  <c:v>46185.23333333333</c:v>
                </c:pt>
                <c:pt idx="12">
                  <c:v>46185.895293248053</c:v>
                </c:pt>
                <c:pt idx="13">
                  <c:v>46185.895293248053</c:v>
                </c:pt>
                <c:pt idx="14">
                  <c:v>46185.94918325411</c:v>
                </c:pt>
                <c:pt idx="15">
                  <c:v>46185.94918325411</c:v>
                </c:pt>
                <c:pt idx="16">
                  <c:v>46186.129861111112</c:v>
                </c:pt>
                <c:pt idx="17">
                  <c:v>46186.129861111112</c:v>
                </c:pt>
                <c:pt idx="18">
                  <c:v>46186.146527777775</c:v>
                </c:pt>
                <c:pt idx="19">
                  <c:v>46186.146527777775</c:v>
                </c:pt>
                <c:pt idx="20">
                  <c:v>46186.159722222219</c:v>
                </c:pt>
              </c:numCache>
            </c:numRef>
          </c:xVal>
          <c:yVal>
            <c:numRef>
              <c:f>Plotting!$M$2:$M$22</c:f>
              <c:numCache>
                <c:formatCode>0</c:formatCode>
                <c:ptCount val="21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8</c:v>
                </c:pt>
                <c:pt idx="10">
                  <c:v>8</c:v>
                </c:pt>
                <c:pt idx="11">
                  <c:v>13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AE5-4B9F-B963-8FE0511E7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0775696"/>
        <c:axId val="1150787216"/>
      </c:scatterChart>
      <c:valAx>
        <c:axId val="1150775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150787216"/>
        <c:crosses val="autoZero"/>
        <c:crossBetween val="midCat"/>
      </c:valAx>
      <c:valAx>
        <c:axId val="115078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150775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453117</xdr:colOff>
      <xdr:row>23</xdr:row>
      <xdr:rowOff>142192</xdr:rowOff>
    </xdr:from>
    <xdr:to>
      <xdr:col>35</xdr:col>
      <xdr:colOff>14968</xdr:colOff>
      <xdr:row>69</xdr:row>
      <xdr:rowOff>70755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224118</xdr:colOff>
      <xdr:row>2</xdr:row>
      <xdr:rowOff>135592</xdr:rowOff>
    </xdr:from>
    <xdr:to>
      <xdr:col>22</xdr:col>
      <xdr:colOff>549088</xdr:colOff>
      <xdr:row>32</xdr:row>
      <xdr:rowOff>67236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EB62D25C-FA87-2144-74F6-B62B07D899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sqref="A1:XFD1048576"/>
    </sheetView>
  </sheetViews>
  <sheetFormatPr baseColWidth="10" defaultColWidth="9.140625" defaultRowHeight="15" x14ac:dyDescent="0.25"/>
  <cols>
    <col min="1" max="1" width="5.42578125" bestFit="1" customWidth="1"/>
    <col min="2" max="2" width="14.140625" bestFit="1" customWidth="1"/>
    <col min="3" max="3" width="9.28515625" bestFit="1" customWidth="1"/>
    <col min="4" max="4" width="4.28515625" bestFit="1" customWidth="1"/>
  </cols>
  <sheetData>
    <row r="1" spans="1:4" x14ac:dyDescent="0.25">
      <c r="A1" t="s">
        <v>13</v>
      </c>
      <c r="B1" t="s">
        <v>14</v>
      </c>
      <c r="C1" t="s">
        <v>15</v>
      </c>
      <c r="D1" t="s">
        <v>16</v>
      </c>
    </row>
    <row r="2" spans="1:4" x14ac:dyDescent="0.25">
      <c r="A2">
        <v>1</v>
      </c>
      <c r="B2" t="s">
        <v>17</v>
      </c>
      <c r="C2" t="s">
        <v>18</v>
      </c>
      <c r="D2">
        <v>6</v>
      </c>
    </row>
    <row r="3" spans="1:4" x14ac:dyDescent="0.25">
      <c r="A3">
        <v>2</v>
      </c>
      <c r="B3" t="s">
        <v>19</v>
      </c>
      <c r="C3" t="s">
        <v>20</v>
      </c>
      <c r="D3">
        <v>5</v>
      </c>
    </row>
    <row r="4" spans="1:4" x14ac:dyDescent="0.25">
      <c r="A4">
        <v>3</v>
      </c>
      <c r="B4" t="s">
        <v>21</v>
      </c>
      <c r="C4" t="s">
        <v>22</v>
      </c>
      <c r="D4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98"/>
  <sheetViews>
    <sheetView workbookViewId="0">
      <selection activeCell="J4" sqref="J4"/>
    </sheetView>
  </sheetViews>
  <sheetFormatPr baseColWidth="10" defaultColWidth="9.140625" defaultRowHeight="15" x14ac:dyDescent="0.25"/>
  <cols>
    <col min="1" max="1" width="9.140625" bestFit="1" customWidth="1"/>
    <col min="2" max="3" width="22.28515625" bestFit="1" customWidth="1"/>
    <col min="4" max="4" width="11.85546875" bestFit="1" customWidth="1"/>
    <col min="6" max="6" width="9.140625" bestFit="1" customWidth="1"/>
    <col min="7" max="7" width="14.7109375" bestFit="1" customWidth="1"/>
    <col min="8" max="16" width="8.85546875" customWidth="1"/>
    <col min="17" max="17" width="4" bestFit="1" customWidth="1"/>
    <col min="18" max="19" width="22.28515625" bestFit="1" customWidth="1"/>
  </cols>
  <sheetData>
    <row r="1" spans="1:19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</row>
    <row r="2" spans="1:19" x14ac:dyDescent="0.25">
      <c r="A2">
        <v>537327</v>
      </c>
      <c r="B2" t="s">
        <v>30</v>
      </c>
      <c r="C2" t="s">
        <v>31</v>
      </c>
      <c r="D2">
        <v>2</v>
      </c>
      <c r="E2">
        <v>0</v>
      </c>
      <c r="F2" t="s">
        <v>32</v>
      </c>
      <c r="G2">
        <v>4</v>
      </c>
      <c r="Q2">
        <v>4</v>
      </c>
      <c r="R2" t="s">
        <v>30</v>
      </c>
      <c r="S2" t="s">
        <v>31</v>
      </c>
    </row>
    <row r="3" spans="1:19" x14ac:dyDescent="0.25">
      <c r="A3">
        <v>537328</v>
      </c>
      <c r="B3" t="s">
        <v>33</v>
      </c>
      <c r="C3" t="s">
        <v>34</v>
      </c>
      <c r="D3">
        <v>2</v>
      </c>
      <c r="E3">
        <v>1</v>
      </c>
      <c r="F3" t="s">
        <v>32</v>
      </c>
      <c r="G3">
        <v>5</v>
      </c>
      <c r="Q3">
        <v>5</v>
      </c>
      <c r="R3" t="s">
        <v>33</v>
      </c>
      <c r="S3" t="s">
        <v>34</v>
      </c>
    </row>
    <row r="4" spans="1:19" x14ac:dyDescent="0.25">
      <c r="A4">
        <v>537333</v>
      </c>
      <c r="B4" t="s">
        <v>35</v>
      </c>
      <c r="C4" t="s">
        <v>36</v>
      </c>
      <c r="D4">
        <v>1</v>
      </c>
      <c r="E4">
        <v>1</v>
      </c>
      <c r="F4" t="s">
        <v>32</v>
      </c>
      <c r="G4">
        <v>12</v>
      </c>
      <c r="Q4">
        <v>12</v>
      </c>
      <c r="R4" t="s">
        <v>35</v>
      </c>
      <c r="S4" t="s">
        <v>36</v>
      </c>
    </row>
    <row r="5" spans="1:19" x14ac:dyDescent="0.25">
      <c r="A5">
        <v>537345</v>
      </c>
      <c r="B5" t="s">
        <v>37</v>
      </c>
      <c r="C5" t="s">
        <v>38</v>
      </c>
      <c r="D5">
        <v>4</v>
      </c>
      <c r="E5">
        <v>1</v>
      </c>
      <c r="F5" t="s">
        <v>32</v>
      </c>
      <c r="G5">
        <v>28</v>
      </c>
      <c r="Q5">
        <v>28</v>
      </c>
      <c r="R5" t="s">
        <v>37</v>
      </c>
      <c r="S5" t="s">
        <v>38</v>
      </c>
    </row>
    <row r="6" spans="1:19" x14ac:dyDescent="0.25">
      <c r="B6" t="s">
        <v>39</v>
      </c>
      <c r="C6" t="s">
        <v>40</v>
      </c>
      <c r="G6">
        <v>13</v>
      </c>
      <c r="Q6">
        <v>13</v>
      </c>
      <c r="R6" t="s">
        <v>39</v>
      </c>
      <c r="S6" t="s">
        <v>40</v>
      </c>
    </row>
    <row r="7" spans="1:19" x14ac:dyDescent="0.25">
      <c r="B7" t="s">
        <v>41</v>
      </c>
      <c r="C7" t="s">
        <v>42</v>
      </c>
      <c r="G7">
        <v>20</v>
      </c>
      <c r="Q7">
        <v>20</v>
      </c>
      <c r="R7" t="s">
        <v>41</v>
      </c>
      <c r="S7" t="s">
        <v>42</v>
      </c>
    </row>
    <row r="8" spans="1:19" x14ac:dyDescent="0.25">
      <c r="B8" t="s">
        <v>43</v>
      </c>
      <c r="C8" t="s">
        <v>44</v>
      </c>
      <c r="G8">
        <v>21</v>
      </c>
      <c r="Q8">
        <v>21</v>
      </c>
      <c r="R8" t="s">
        <v>43</v>
      </c>
      <c r="S8" t="s">
        <v>44</v>
      </c>
    </row>
    <row r="9" spans="1:19" x14ac:dyDescent="0.25">
      <c r="B9" t="s">
        <v>45</v>
      </c>
      <c r="C9" t="s">
        <v>46</v>
      </c>
      <c r="G9">
        <v>29</v>
      </c>
      <c r="Q9">
        <v>29</v>
      </c>
      <c r="R9" t="s">
        <v>45</v>
      </c>
      <c r="S9" t="s">
        <v>46</v>
      </c>
    </row>
    <row r="10" spans="1:19" x14ac:dyDescent="0.25">
      <c r="B10" t="s">
        <v>47</v>
      </c>
      <c r="C10" t="s">
        <v>48</v>
      </c>
      <c r="G10">
        <v>36</v>
      </c>
      <c r="Q10">
        <v>36</v>
      </c>
      <c r="R10" t="s">
        <v>47</v>
      </c>
      <c r="S10" t="s">
        <v>48</v>
      </c>
    </row>
    <row r="11" spans="1:19" x14ac:dyDescent="0.25">
      <c r="B11" t="s">
        <v>49</v>
      </c>
      <c r="C11" t="s">
        <v>50</v>
      </c>
      <c r="G11">
        <v>44</v>
      </c>
      <c r="Q11">
        <v>44</v>
      </c>
      <c r="R11" t="s">
        <v>49</v>
      </c>
      <c r="S11" t="s">
        <v>50</v>
      </c>
    </row>
    <row r="12" spans="1:19" x14ac:dyDescent="0.25">
      <c r="B12" t="s">
        <v>51</v>
      </c>
      <c r="C12" t="s">
        <v>52</v>
      </c>
      <c r="G12">
        <v>37</v>
      </c>
      <c r="Q12">
        <v>37</v>
      </c>
      <c r="R12" t="s">
        <v>51</v>
      </c>
      <c r="S12" t="s">
        <v>52</v>
      </c>
    </row>
    <row r="13" spans="1:19" x14ac:dyDescent="0.25">
      <c r="B13" t="s">
        <v>53</v>
      </c>
      <c r="C13" t="s">
        <v>54</v>
      </c>
      <c r="G13">
        <v>45</v>
      </c>
      <c r="Q13">
        <v>45</v>
      </c>
      <c r="R13" t="s">
        <v>53</v>
      </c>
      <c r="S13" t="s">
        <v>54</v>
      </c>
    </row>
    <row r="14" spans="1:19" x14ac:dyDescent="0.25">
      <c r="B14" t="s">
        <v>55</v>
      </c>
      <c r="C14" t="s">
        <v>56</v>
      </c>
      <c r="G14">
        <v>60</v>
      </c>
      <c r="Q14">
        <v>60</v>
      </c>
      <c r="R14" t="s">
        <v>55</v>
      </c>
      <c r="S14" t="s">
        <v>56</v>
      </c>
    </row>
    <row r="15" spans="1:19" x14ac:dyDescent="0.25">
      <c r="B15" t="s">
        <v>57</v>
      </c>
      <c r="C15" t="s">
        <v>58</v>
      </c>
      <c r="G15">
        <v>52</v>
      </c>
      <c r="Q15">
        <v>52</v>
      </c>
      <c r="R15" t="s">
        <v>57</v>
      </c>
      <c r="S15" t="s">
        <v>58</v>
      </c>
    </row>
    <row r="16" spans="1:19" x14ac:dyDescent="0.25">
      <c r="B16" t="s">
        <v>59</v>
      </c>
      <c r="C16" t="s">
        <v>60</v>
      </c>
      <c r="G16">
        <v>61</v>
      </c>
      <c r="Q16">
        <v>61</v>
      </c>
      <c r="R16" t="s">
        <v>59</v>
      </c>
      <c r="S16" t="s">
        <v>60</v>
      </c>
    </row>
    <row r="17" spans="2:19" x14ac:dyDescent="0.25">
      <c r="B17" t="s">
        <v>61</v>
      </c>
      <c r="C17" t="s">
        <v>62</v>
      </c>
      <c r="G17">
        <v>53</v>
      </c>
      <c r="Q17">
        <v>53</v>
      </c>
      <c r="R17" t="s">
        <v>61</v>
      </c>
      <c r="S17" t="s">
        <v>62</v>
      </c>
    </row>
    <row r="18" spans="2:19" x14ac:dyDescent="0.25">
      <c r="B18" t="s">
        <v>63</v>
      </c>
      <c r="C18" t="s">
        <v>64</v>
      </c>
      <c r="G18">
        <v>68</v>
      </c>
      <c r="Q18">
        <v>68</v>
      </c>
      <c r="R18" t="s">
        <v>63</v>
      </c>
      <c r="S18" t="s">
        <v>64</v>
      </c>
    </row>
    <row r="19" spans="2:19" x14ac:dyDescent="0.25">
      <c r="B19" t="s">
        <v>65</v>
      </c>
      <c r="C19" t="s">
        <v>66</v>
      </c>
      <c r="G19">
        <v>69</v>
      </c>
      <c r="Q19">
        <v>69</v>
      </c>
      <c r="R19" t="s">
        <v>65</v>
      </c>
      <c r="S19" t="s">
        <v>66</v>
      </c>
    </row>
    <row r="20" spans="2:19" x14ac:dyDescent="0.25">
      <c r="B20" t="s">
        <v>67</v>
      </c>
      <c r="C20" t="s">
        <v>68</v>
      </c>
      <c r="G20">
        <v>76</v>
      </c>
      <c r="Q20">
        <v>76</v>
      </c>
      <c r="R20" t="s">
        <v>67</v>
      </c>
      <c r="S20" t="s">
        <v>68</v>
      </c>
    </row>
    <row r="21" spans="2:19" x14ac:dyDescent="0.25">
      <c r="B21" t="s">
        <v>69</v>
      </c>
      <c r="C21" t="s">
        <v>70</v>
      </c>
      <c r="G21">
        <v>77</v>
      </c>
      <c r="Q21">
        <v>77</v>
      </c>
      <c r="R21" t="s">
        <v>69</v>
      </c>
      <c r="S21" t="s">
        <v>70</v>
      </c>
    </row>
    <row r="22" spans="2:19" x14ac:dyDescent="0.25">
      <c r="B22" t="s">
        <v>71</v>
      </c>
      <c r="C22" t="s">
        <v>72</v>
      </c>
      <c r="G22">
        <v>84</v>
      </c>
      <c r="Q22">
        <v>84</v>
      </c>
      <c r="R22" t="s">
        <v>71</v>
      </c>
      <c r="S22" t="s">
        <v>72</v>
      </c>
    </row>
    <row r="23" spans="2:19" x14ac:dyDescent="0.25">
      <c r="B23" t="s">
        <v>22</v>
      </c>
      <c r="C23" t="s">
        <v>73</v>
      </c>
      <c r="G23">
        <v>92</v>
      </c>
      <c r="Q23">
        <v>92</v>
      </c>
      <c r="R23" t="s">
        <v>22</v>
      </c>
      <c r="S23" t="s">
        <v>73</v>
      </c>
    </row>
    <row r="24" spans="2:19" x14ac:dyDescent="0.25">
      <c r="B24" t="s">
        <v>74</v>
      </c>
      <c r="C24" t="s">
        <v>75</v>
      </c>
      <c r="G24">
        <v>93</v>
      </c>
      <c r="Q24">
        <v>93</v>
      </c>
      <c r="R24" t="s">
        <v>74</v>
      </c>
      <c r="S24" t="s">
        <v>75</v>
      </c>
    </row>
    <row r="25" spans="2:19" x14ac:dyDescent="0.25">
      <c r="B25" t="s">
        <v>76</v>
      </c>
      <c r="C25" t="s">
        <v>77</v>
      </c>
      <c r="G25">
        <v>85</v>
      </c>
      <c r="Q25">
        <v>85</v>
      </c>
      <c r="R25" t="s">
        <v>76</v>
      </c>
      <c r="S25" t="s">
        <v>77</v>
      </c>
    </row>
    <row r="26" spans="2:19" x14ac:dyDescent="0.25">
      <c r="B26" t="s">
        <v>34</v>
      </c>
      <c r="C26" t="s">
        <v>31</v>
      </c>
      <c r="G26">
        <v>6</v>
      </c>
      <c r="Q26">
        <v>6</v>
      </c>
      <c r="R26" t="s">
        <v>34</v>
      </c>
      <c r="S26" t="s">
        <v>31</v>
      </c>
    </row>
    <row r="27" spans="2:19" x14ac:dyDescent="0.25">
      <c r="B27" t="s">
        <v>40</v>
      </c>
      <c r="C27" t="s">
        <v>36</v>
      </c>
      <c r="G27">
        <v>14</v>
      </c>
      <c r="Q27">
        <v>14</v>
      </c>
      <c r="R27" t="s">
        <v>40</v>
      </c>
      <c r="S27" t="s">
        <v>36</v>
      </c>
    </row>
    <row r="28" spans="2:19" x14ac:dyDescent="0.25">
      <c r="B28" t="s">
        <v>35</v>
      </c>
      <c r="C28" t="s">
        <v>39</v>
      </c>
      <c r="G28">
        <v>15</v>
      </c>
      <c r="Q28">
        <v>15</v>
      </c>
      <c r="R28" t="s">
        <v>35</v>
      </c>
      <c r="S28" t="s">
        <v>39</v>
      </c>
    </row>
    <row r="29" spans="2:19" x14ac:dyDescent="0.25">
      <c r="B29" t="s">
        <v>30</v>
      </c>
      <c r="C29" t="s">
        <v>33</v>
      </c>
      <c r="G29">
        <v>7</v>
      </c>
      <c r="Q29">
        <v>7</v>
      </c>
      <c r="R29" t="s">
        <v>30</v>
      </c>
      <c r="S29" t="s">
        <v>33</v>
      </c>
    </row>
    <row r="30" spans="2:19" x14ac:dyDescent="0.25">
      <c r="B30" t="s">
        <v>37</v>
      </c>
      <c r="C30" t="s">
        <v>45</v>
      </c>
      <c r="G30">
        <v>30</v>
      </c>
      <c r="Q30">
        <v>30</v>
      </c>
      <c r="R30" t="s">
        <v>37</v>
      </c>
      <c r="S30" t="s">
        <v>45</v>
      </c>
    </row>
    <row r="31" spans="2:19" x14ac:dyDescent="0.25">
      <c r="B31" t="s">
        <v>44</v>
      </c>
      <c r="C31" t="s">
        <v>42</v>
      </c>
      <c r="G31">
        <v>22</v>
      </c>
      <c r="Q31">
        <v>22</v>
      </c>
      <c r="R31" t="s">
        <v>44</v>
      </c>
      <c r="S31" t="s">
        <v>42</v>
      </c>
    </row>
    <row r="32" spans="2:19" x14ac:dyDescent="0.25">
      <c r="B32" t="s">
        <v>41</v>
      </c>
      <c r="C32" t="s">
        <v>43</v>
      </c>
      <c r="G32">
        <v>23</v>
      </c>
      <c r="Q32">
        <v>23</v>
      </c>
      <c r="R32" t="s">
        <v>41</v>
      </c>
      <c r="S32" t="s">
        <v>43</v>
      </c>
    </row>
    <row r="33" spans="2:19" x14ac:dyDescent="0.25">
      <c r="B33" t="s">
        <v>46</v>
      </c>
      <c r="C33" t="s">
        <v>38</v>
      </c>
      <c r="G33">
        <v>31</v>
      </c>
      <c r="Q33">
        <v>31</v>
      </c>
      <c r="R33" t="s">
        <v>46</v>
      </c>
      <c r="S33" t="s">
        <v>38</v>
      </c>
    </row>
    <row r="34" spans="2:19" x14ac:dyDescent="0.25">
      <c r="B34" t="s">
        <v>49</v>
      </c>
      <c r="C34" t="s">
        <v>53</v>
      </c>
      <c r="G34">
        <v>46</v>
      </c>
      <c r="Q34">
        <v>46</v>
      </c>
      <c r="R34" t="s">
        <v>49</v>
      </c>
      <c r="S34" t="s">
        <v>53</v>
      </c>
    </row>
    <row r="35" spans="2:19" x14ac:dyDescent="0.25">
      <c r="B35" t="s">
        <v>47</v>
      </c>
      <c r="C35" t="s">
        <v>51</v>
      </c>
      <c r="G35">
        <v>38</v>
      </c>
      <c r="Q35">
        <v>38</v>
      </c>
      <c r="R35" t="s">
        <v>47</v>
      </c>
      <c r="S35" t="s">
        <v>51</v>
      </c>
    </row>
    <row r="36" spans="2:19" x14ac:dyDescent="0.25">
      <c r="B36" t="s">
        <v>52</v>
      </c>
      <c r="C36" t="s">
        <v>48</v>
      </c>
      <c r="G36">
        <v>39</v>
      </c>
      <c r="Q36">
        <v>39</v>
      </c>
      <c r="R36" t="s">
        <v>52</v>
      </c>
      <c r="S36" t="s">
        <v>48</v>
      </c>
    </row>
    <row r="37" spans="2:19" x14ac:dyDescent="0.25">
      <c r="B37" t="s">
        <v>54</v>
      </c>
      <c r="C37" t="s">
        <v>50</v>
      </c>
      <c r="G37">
        <v>47</v>
      </c>
      <c r="Q37">
        <v>47</v>
      </c>
      <c r="R37" t="s">
        <v>54</v>
      </c>
      <c r="S37" t="s">
        <v>50</v>
      </c>
    </row>
    <row r="38" spans="2:19" x14ac:dyDescent="0.25">
      <c r="B38" t="s">
        <v>55</v>
      </c>
      <c r="C38" t="s">
        <v>59</v>
      </c>
      <c r="G38">
        <v>62</v>
      </c>
      <c r="Q38">
        <v>62</v>
      </c>
      <c r="R38" t="s">
        <v>55</v>
      </c>
      <c r="S38" t="s">
        <v>59</v>
      </c>
    </row>
    <row r="39" spans="2:19" x14ac:dyDescent="0.25">
      <c r="B39" t="s">
        <v>57</v>
      </c>
      <c r="C39" t="s">
        <v>61</v>
      </c>
      <c r="G39">
        <v>54</v>
      </c>
      <c r="Q39">
        <v>54</v>
      </c>
      <c r="R39" t="s">
        <v>57</v>
      </c>
      <c r="S39" t="s">
        <v>61</v>
      </c>
    </row>
    <row r="40" spans="2:19" x14ac:dyDescent="0.25">
      <c r="B40" t="s">
        <v>60</v>
      </c>
      <c r="C40" t="s">
        <v>56</v>
      </c>
      <c r="G40">
        <v>63</v>
      </c>
      <c r="Q40">
        <v>63</v>
      </c>
      <c r="R40" t="s">
        <v>60</v>
      </c>
      <c r="S40" t="s">
        <v>56</v>
      </c>
    </row>
    <row r="41" spans="2:19" x14ac:dyDescent="0.25">
      <c r="B41" t="s">
        <v>62</v>
      </c>
      <c r="C41" t="s">
        <v>58</v>
      </c>
      <c r="G41">
        <v>55</v>
      </c>
      <c r="Q41">
        <v>55</v>
      </c>
      <c r="R41" t="s">
        <v>62</v>
      </c>
      <c r="S41" t="s">
        <v>58</v>
      </c>
    </row>
    <row r="42" spans="2:19" x14ac:dyDescent="0.25">
      <c r="B42" t="s">
        <v>67</v>
      </c>
      <c r="C42" t="s">
        <v>69</v>
      </c>
      <c r="G42">
        <v>78</v>
      </c>
      <c r="Q42">
        <v>78</v>
      </c>
      <c r="R42" t="s">
        <v>67</v>
      </c>
      <c r="S42" t="s">
        <v>69</v>
      </c>
    </row>
    <row r="43" spans="2:19" x14ac:dyDescent="0.25">
      <c r="B43" t="s">
        <v>63</v>
      </c>
      <c r="C43" t="s">
        <v>65</v>
      </c>
      <c r="G43">
        <v>70</v>
      </c>
      <c r="Q43">
        <v>70</v>
      </c>
      <c r="R43" t="s">
        <v>63</v>
      </c>
      <c r="S43" t="s">
        <v>65</v>
      </c>
    </row>
    <row r="44" spans="2:19" x14ac:dyDescent="0.25">
      <c r="B44" t="s">
        <v>66</v>
      </c>
      <c r="C44" t="s">
        <v>64</v>
      </c>
      <c r="G44">
        <v>71</v>
      </c>
      <c r="Q44">
        <v>71</v>
      </c>
      <c r="R44" t="s">
        <v>66</v>
      </c>
      <c r="S44" t="s">
        <v>64</v>
      </c>
    </row>
    <row r="45" spans="2:19" x14ac:dyDescent="0.25">
      <c r="B45" t="s">
        <v>70</v>
      </c>
      <c r="C45" t="s">
        <v>68</v>
      </c>
      <c r="G45">
        <v>79</v>
      </c>
      <c r="Q45">
        <v>79</v>
      </c>
      <c r="R45" t="s">
        <v>70</v>
      </c>
      <c r="S45" t="s">
        <v>68</v>
      </c>
    </row>
    <row r="46" spans="2:19" x14ac:dyDescent="0.25">
      <c r="B46" t="s">
        <v>71</v>
      </c>
      <c r="C46" t="s">
        <v>76</v>
      </c>
      <c r="G46">
        <v>86</v>
      </c>
      <c r="Q46">
        <v>86</v>
      </c>
      <c r="R46" t="s">
        <v>71</v>
      </c>
      <c r="S46" t="s">
        <v>76</v>
      </c>
    </row>
    <row r="47" spans="2:19" x14ac:dyDescent="0.25">
      <c r="B47" t="s">
        <v>22</v>
      </c>
      <c r="C47" t="s">
        <v>74</v>
      </c>
      <c r="G47">
        <v>94</v>
      </c>
      <c r="Q47">
        <v>94</v>
      </c>
      <c r="R47" t="s">
        <v>22</v>
      </c>
      <c r="S47" t="s">
        <v>74</v>
      </c>
    </row>
    <row r="48" spans="2:19" x14ac:dyDescent="0.25">
      <c r="B48" t="s">
        <v>75</v>
      </c>
      <c r="C48" t="s">
        <v>73</v>
      </c>
      <c r="G48">
        <v>95</v>
      </c>
      <c r="Q48">
        <v>95</v>
      </c>
      <c r="R48" t="s">
        <v>75</v>
      </c>
      <c r="S48" t="s">
        <v>73</v>
      </c>
    </row>
    <row r="49" spans="2:19" x14ac:dyDescent="0.25">
      <c r="B49" t="s">
        <v>77</v>
      </c>
      <c r="C49" t="s">
        <v>72</v>
      </c>
      <c r="G49">
        <v>87</v>
      </c>
      <c r="Q49">
        <v>87</v>
      </c>
      <c r="R49" t="s">
        <v>77</v>
      </c>
      <c r="S49" t="s">
        <v>72</v>
      </c>
    </row>
    <row r="50" spans="2:19" x14ac:dyDescent="0.25">
      <c r="B50" t="s">
        <v>40</v>
      </c>
      <c r="C50" t="s">
        <v>35</v>
      </c>
      <c r="G50">
        <v>16</v>
      </c>
      <c r="Q50">
        <v>16</v>
      </c>
      <c r="R50" t="s">
        <v>40</v>
      </c>
      <c r="S50" t="s">
        <v>35</v>
      </c>
    </row>
    <row r="51" spans="2:19" x14ac:dyDescent="0.25">
      <c r="B51" t="s">
        <v>36</v>
      </c>
      <c r="C51" t="s">
        <v>39</v>
      </c>
      <c r="G51">
        <v>17</v>
      </c>
      <c r="Q51">
        <v>17</v>
      </c>
      <c r="R51" t="s">
        <v>36</v>
      </c>
      <c r="S51" t="s">
        <v>39</v>
      </c>
    </row>
    <row r="52" spans="2:19" x14ac:dyDescent="0.25">
      <c r="B52" t="s">
        <v>44</v>
      </c>
      <c r="C52" t="s">
        <v>41</v>
      </c>
      <c r="G52">
        <v>24</v>
      </c>
      <c r="Q52">
        <v>24</v>
      </c>
      <c r="R52" t="s">
        <v>44</v>
      </c>
      <c r="S52" t="s">
        <v>41</v>
      </c>
    </row>
    <row r="53" spans="2:19" x14ac:dyDescent="0.25">
      <c r="B53" t="s">
        <v>42</v>
      </c>
      <c r="C53" t="s">
        <v>43</v>
      </c>
      <c r="G53">
        <v>25</v>
      </c>
      <c r="Q53">
        <v>25</v>
      </c>
      <c r="R53" t="s">
        <v>42</v>
      </c>
      <c r="S53" t="s">
        <v>43</v>
      </c>
    </row>
    <row r="54" spans="2:19" x14ac:dyDescent="0.25">
      <c r="B54" t="s">
        <v>34</v>
      </c>
      <c r="C54" t="s">
        <v>30</v>
      </c>
      <c r="G54">
        <v>8</v>
      </c>
      <c r="Q54">
        <v>8</v>
      </c>
      <c r="R54" t="s">
        <v>34</v>
      </c>
      <c r="S54" t="s">
        <v>30</v>
      </c>
    </row>
    <row r="55" spans="2:19" x14ac:dyDescent="0.25">
      <c r="B55" t="s">
        <v>31</v>
      </c>
      <c r="C55" t="s">
        <v>33</v>
      </c>
      <c r="G55">
        <v>9</v>
      </c>
      <c r="Q55">
        <v>9</v>
      </c>
      <c r="R55" t="s">
        <v>31</v>
      </c>
      <c r="S55" t="s">
        <v>33</v>
      </c>
    </row>
    <row r="56" spans="2:19" x14ac:dyDescent="0.25">
      <c r="B56" t="s">
        <v>48</v>
      </c>
      <c r="C56" t="s">
        <v>51</v>
      </c>
      <c r="G56">
        <v>40</v>
      </c>
      <c r="Q56">
        <v>40</v>
      </c>
      <c r="R56" t="s">
        <v>48</v>
      </c>
      <c r="S56" t="s">
        <v>51</v>
      </c>
    </row>
    <row r="57" spans="2:19" x14ac:dyDescent="0.25">
      <c r="B57" t="s">
        <v>52</v>
      </c>
      <c r="C57" t="s">
        <v>47</v>
      </c>
      <c r="G57">
        <v>41</v>
      </c>
      <c r="Q57">
        <v>41</v>
      </c>
      <c r="R57" t="s">
        <v>52</v>
      </c>
      <c r="S57" t="s">
        <v>47</v>
      </c>
    </row>
    <row r="58" spans="2:19" x14ac:dyDescent="0.25">
      <c r="B58" t="s">
        <v>50</v>
      </c>
      <c r="C58" t="s">
        <v>53</v>
      </c>
      <c r="G58">
        <v>48</v>
      </c>
      <c r="Q58">
        <v>48</v>
      </c>
      <c r="R58" t="s">
        <v>50</v>
      </c>
      <c r="S58" t="s">
        <v>53</v>
      </c>
    </row>
    <row r="59" spans="2:19" x14ac:dyDescent="0.25">
      <c r="B59" t="s">
        <v>54</v>
      </c>
      <c r="C59" t="s">
        <v>49</v>
      </c>
      <c r="G59">
        <v>49</v>
      </c>
      <c r="Q59">
        <v>49</v>
      </c>
      <c r="R59" t="s">
        <v>54</v>
      </c>
      <c r="S59" t="s">
        <v>49</v>
      </c>
    </row>
    <row r="60" spans="2:19" x14ac:dyDescent="0.25">
      <c r="B60" t="s">
        <v>46</v>
      </c>
      <c r="C60" t="s">
        <v>37</v>
      </c>
      <c r="G60">
        <v>32</v>
      </c>
      <c r="Q60">
        <v>32</v>
      </c>
      <c r="R60" t="s">
        <v>46</v>
      </c>
      <c r="S60" t="s">
        <v>37</v>
      </c>
    </row>
    <row r="61" spans="2:19" x14ac:dyDescent="0.25">
      <c r="B61" t="s">
        <v>38</v>
      </c>
      <c r="C61" t="s">
        <v>45</v>
      </c>
      <c r="G61">
        <v>33</v>
      </c>
      <c r="Q61">
        <v>33</v>
      </c>
      <c r="R61" t="s">
        <v>38</v>
      </c>
      <c r="S61" t="s">
        <v>45</v>
      </c>
    </row>
    <row r="62" spans="2:19" x14ac:dyDescent="0.25">
      <c r="B62" t="s">
        <v>66</v>
      </c>
      <c r="C62" t="s">
        <v>63</v>
      </c>
      <c r="G62">
        <v>72</v>
      </c>
      <c r="Q62">
        <v>72</v>
      </c>
      <c r="R62" t="s">
        <v>66</v>
      </c>
      <c r="S62" t="s">
        <v>63</v>
      </c>
    </row>
    <row r="63" spans="2:19" x14ac:dyDescent="0.25">
      <c r="B63" t="s">
        <v>64</v>
      </c>
      <c r="C63" t="s">
        <v>65</v>
      </c>
      <c r="G63">
        <v>73</v>
      </c>
      <c r="Q63">
        <v>73</v>
      </c>
      <c r="R63" t="s">
        <v>64</v>
      </c>
      <c r="S63" t="s">
        <v>65</v>
      </c>
    </row>
    <row r="64" spans="2:19" x14ac:dyDescent="0.25">
      <c r="B64" t="s">
        <v>56</v>
      </c>
      <c r="C64" t="s">
        <v>59</v>
      </c>
      <c r="G64">
        <v>64</v>
      </c>
      <c r="Q64">
        <v>64</v>
      </c>
      <c r="R64" t="s">
        <v>56</v>
      </c>
      <c r="S64" t="s">
        <v>59</v>
      </c>
    </row>
    <row r="65" spans="2:19" x14ac:dyDescent="0.25">
      <c r="B65" t="s">
        <v>60</v>
      </c>
      <c r="C65" t="s">
        <v>55</v>
      </c>
      <c r="G65">
        <v>65</v>
      </c>
      <c r="Q65">
        <v>65</v>
      </c>
      <c r="R65" t="s">
        <v>60</v>
      </c>
      <c r="S65" t="s">
        <v>55</v>
      </c>
    </row>
    <row r="66" spans="2:19" x14ac:dyDescent="0.25">
      <c r="B66" t="s">
        <v>58</v>
      </c>
      <c r="C66" t="s">
        <v>61</v>
      </c>
      <c r="G66">
        <v>56</v>
      </c>
      <c r="Q66">
        <v>56</v>
      </c>
      <c r="R66" t="s">
        <v>58</v>
      </c>
      <c r="S66" t="s">
        <v>61</v>
      </c>
    </row>
    <row r="67" spans="2:19" x14ac:dyDescent="0.25">
      <c r="B67" t="s">
        <v>62</v>
      </c>
      <c r="C67" t="s">
        <v>57</v>
      </c>
      <c r="G67">
        <v>57</v>
      </c>
      <c r="Q67">
        <v>57</v>
      </c>
      <c r="R67" t="s">
        <v>62</v>
      </c>
      <c r="S67" t="s">
        <v>57</v>
      </c>
    </row>
    <row r="68" spans="2:19" x14ac:dyDescent="0.25">
      <c r="B68" t="s">
        <v>75</v>
      </c>
      <c r="C68" t="s">
        <v>22</v>
      </c>
      <c r="G68">
        <v>96</v>
      </c>
      <c r="Q68">
        <v>96</v>
      </c>
      <c r="R68" t="s">
        <v>75</v>
      </c>
      <c r="S68" t="s">
        <v>22</v>
      </c>
    </row>
    <row r="69" spans="2:19" x14ac:dyDescent="0.25">
      <c r="B69" t="s">
        <v>73</v>
      </c>
      <c r="C69" t="s">
        <v>74</v>
      </c>
      <c r="G69">
        <v>97</v>
      </c>
      <c r="Q69">
        <v>97</v>
      </c>
      <c r="R69" t="s">
        <v>73</v>
      </c>
      <c r="S69" t="s">
        <v>74</v>
      </c>
    </row>
    <row r="70" spans="2:19" x14ac:dyDescent="0.25">
      <c r="B70" t="s">
        <v>77</v>
      </c>
      <c r="C70" t="s">
        <v>71</v>
      </c>
      <c r="G70">
        <v>88</v>
      </c>
      <c r="Q70">
        <v>88</v>
      </c>
      <c r="R70" t="s">
        <v>77</v>
      </c>
      <c r="S70" t="s">
        <v>71</v>
      </c>
    </row>
    <row r="71" spans="2:19" x14ac:dyDescent="0.25">
      <c r="B71" t="s">
        <v>72</v>
      </c>
      <c r="C71" t="s">
        <v>76</v>
      </c>
      <c r="G71">
        <v>89</v>
      </c>
      <c r="Q71">
        <v>89</v>
      </c>
      <c r="R71" t="s">
        <v>72</v>
      </c>
      <c r="S71" t="s">
        <v>76</v>
      </c>
    </row>
    <row r="72" spans="2:19" x14ac:dyDescent="0.25">
      <c r="B72" t="s">
        <v>68</v>
      </c>
      <c r="C72" t="s">
        <v>69</v>
      </c>
      <c r="G72">
        <v>80</v>
      </c>
      <c r="Q72">
        <v>80</v>
      </c>
      <c r="R72" t="s">
        <v>68</v>
      </c>
      <c r="S72" t="s">
        <v>69</v>
      </c>
    </row>
    <row r="73" spans="2:19" x14ac:dyDescent="0.25">
      <c r="B73" t="s">
        <v>70</v>
      </c>
      <c r="C73" t="s">
        <v>67</v>
      </c>
      <c r="G73">
        <v>81</v>
      </c>
      <c r="Q73">
        <v>81</v>
      </c>
      <c r="R73" t="s">
        <v>70</v>
      </c>
      <c r="S73" t="s">
        <v>67</v>
      </c>
    </row>
    <row r="74" spans="2:19" x14ac:dyDescent="0.25">
      <c r="G74">
        <v>101</v>
      </c>
      <c r="Q74">
        <v>101</v>
      </c>
      <c r="R74" t="s">
        <v>78</v>
      </c>
      <c r="S74" t="s">
        <v>79</v>
      </c>
    </row>
    <row r="75" spans="2:19" x14ac:dyDescent="0.25">
      <c r="G75">
        <v>102</v>
      </c>
      <c r="Q75">
        <v>102</v>
      </c>
      <c r="R75" t="s">
        <v>80</v>
      </c>
      <c r="S75" t="s">
        <v>81</v>
      </c>
    </row>
    <row r="76" spans="2:19" x14ac:dyDescent="0.25">
      <c r="G76">
        <v>103</v>
      </c>
      <c r="Q76">
        <v>103</v>
      </c>
      <c r="R76" t="s">
        <v>82</v>
      </c>
      <c r="S76" t="s">
        <v>83</v>
      </c>
    </row>
    <row r="77" spans="2:19" x14ac:dyDescent="0.25">
      <c r="G77">
        <v>104</v>
      </c>
      <c r="Q77">
        <v>104</v>
      </c>
      <c r="R77" t="s">
        <v>84</v>
      </c>
      <c r="S77" t="s">
        <v>85</v>
      </c>
    </row>
    <row r="78" spans="2:19" x14ac:dyDescent="0.25">
      <c r="G78">
        <v>105</v>
      </c>
      <c r="Q78">
        <v>105</v>
      </c>
      <c r="R78" t="s">
        <v>86</v>
      </c>
      <c r="S78" t="s">
        <v>87</v>
      </c>
    </row>
    <row r="79" spans="2:19" x14ac:dyDescent="0.25">
      <c r="G79">
        <v>106</v>
      </c>
      <c r="Q79">
        <v>106</v>
      </c>
      <c r="R79" t="s">
        <v>88</v>
      </c>
      <c r="S79" t="s">
        <v>89</v>
      </c>
    </row>
    <row r="80" spans="2:19" x14ac:dyDescent="0.25">
      <c r="G80">
        <v>107</v>
      </c>
      <c r="Q80">
        <v>107</v>
      </c>
      <c r="R80" t="s">
        <v>90</v>
      </c>
      <c r="S80" t="s">
        <v>91</v>
      </c>
    </row>
    <row r="81" spans="7:19" x14ac:dyDescent="0.25">
      <c r="G81">
        <v>108</v>
      </c>
      <c r="Q81">
        <v>108</v>
      </c>
      <c r="R81" t="s">
        <v>92</v>
      </c>
      <c r="S81" t="s">
        <v>93</v>
      </c>
    </row>
    <row r="82" spans="7:19" x14ac:dyDescent="0.25">
      <c r="G82">
        <v>109</v>
      </c>
      <c r="Q82">
        <v>109</v>
      </c>
      <c r="R82" t="s">
        <v>94</v>
      </c>
      <c r="S82" t="s">
        <v>95</v>
      </c>
    </row>
    <row r="83" spans="7:19" x14ac:dyDescent="0.25">
      <c r="G83">
        <v>110</v>
      </c>
      <c r="Q83">
        <v>110</v>
      </c>
      <c r="R83" t="s">
        <v>96</v>
      </c>
      <c r="S83" t="s">
        <v>97</v>
      </c>
    </row>
    <row r="84" spans="7:19" x14ac:dyDescent="0.25">
      <c r="G84">
        <v>111</v>
      </c>
      <c r="Q84">
        <v>111</v>
      </c>
      <c r="R84" t="s">
        <v>98</v>
      </c>
      <c r="S84" t="s">
        <v>99</v>
      </c>
    </row>
    <row r="85" spans="7:19" x14ac:dyDescent="0.25">
      <c r="G85">
        <v>112</v>
      </c>
      <c r="Q85">
        <v>112</v>
      </c>
      <c r="R85" t="s">
        <v>100</v>
      </c>
      <c r="S85" t="s">
        <v>101</v>
      </c>
    </row>
    <row r="86" spans="7:19" x14ac:dyDescent="0.25">
      <c r="G86">
        <v>113</v>
      </c>
      <c r="Q86">
        <v>113</v>
      </c>
      <c r="R86" t="s">
        <v>102</v>
      </c>
      <c r="S86" t="s">
        <v>103</v>
      </c>
    </row>
    <row r="87" spans="7:19" x14ac:dyDescent="0.25">
      <c r="G87">
        <v>11</v>
      </c>
      <c r="Q87">
        <v>11</v>
      </c>
      <c r="R87" t="s">
        <v>104</v>
      </c>
      <c r="S87" t="s">
        <v>105</v>
      </c>
    </row>
    <row r="88" spans="7:19" x14ac:dyDescent="0.25">
      <c r="G88">
        <v>19</v>
      </c>
      <c r="Q88">
        <v>19</v>
      </c>
      <c r="R88" t="s">
        <v>104</v>
      </c>
      <c r="S88" t="s">
        <v>105</v>
      </c>
    </row>
    <row r="89" spans="7:19" x14ac:dyDescent="0.25">
      <c r="G89">
        <v>27</v>
      </c>
      <c r="Q89">
        <v>27</v>
      </c>
      <c r="R89" t="s">
        <v>104</v>
      </c>
      <c r="S89" t="s">
        <v>105</v>
      </c>
    </row>
    <row r="90" spans="7:19" x14ac:dyDescent="0.25">
      <c r="G90">
        <v>35</v>
      </c>
      <c r="Q90">
        <v>35</v>
      </c>
      <c r="R90" t="s">
        <v>104</v>
      </c>
      <c r="S90" t="s">
        <v>105</v>
      </c>
    </row>
    <row r="91" spans="7:19" x14ac:dyDescent="0.25">
      <c r="G91">
        <v>43</v>
      </c>
      <c r="Q91">
        <v>43</v>
      </c>
      <c r="R91" t="s">
        <v>104</v>
      </c>
      <c r="S91" t="s">
        <v>105</v>
      </c>
    </row>
    <row r="92" spans="7:19" x14ac:dyDescent="0.25">
      <c r="G92">
        <v>51</v>
      </c>
      <c r="Q92">
        <v>51</v>
      </c>
      <c r="R92" t="s">
        <v>104</v>
      </c>
      <c r="S92" t="s">
        <v>105</v>
      </c>
    </row>
    <row r="93" spans="7:19" x14ac:dyDescent="0.25">
      <c r="G93">
        <v>59</v>
      </c>
      <c r="Q93">
        <v>59</v>
      </c>
      <c r="R93" t="s">
        <v>104</v>
      </c>
      <c r="S93" t="s">
        <v>105</v>
      </c>
    </row>
    <row r="94" spans="7:19" x14ac:dyDescent="0.25">
      <c r="G94">
        <v>67</v>
      </c>
      <c r="Q94">
        <v>67</v>
      </c>
      <c r="R94" t="s">
        <v>104</v>
      </c>
      <c r="S94" t="s">
        <v>105</v>
      </c>
    </row>
    <row r="95" spans="7:19" x14ac:dyDescent="0.25">
      <c r="G95">
        <v>75</v>
      </c>
      <c r="Q95">
        <v>75</v>
      </c>
      <c r="R95" t="s">
        <v>104</v>
      </c>
      <c r="S95" t="s">
        <v>105</v>
      </c>
    </row>
    <row r="96" spans="7:19" x14ac:dyDescent="0.25">
      <c r="G96">
        <v>83</v>
      </c>
      <c r="Q96">
        <v>83</v>
      </c>
      <c r="R96" t="s">
        <v>104</v>
      </c>
      <c r="S96" t="s">
        <v>105</v>
      </c>
    </row>
    <row r="97" spans="7:19" x14ac:dyDescent="0.25">
      <c r="G97">
        <v>91</v>
      </c>
      <c r="Q97">
        <v>91</v>
      </c>
      <c r="R97" t="s">
        <v>104</v>
      </c>
      <c r="S97" t="s">
        <v>105</v>
      </c>
    </row>
    <row r="98" spans="7:19" x14ac:dyDescent="0.25">
      <c r="G98">
        <v>100</v>
      </c>
      <c r="Q98">
        <v>100</v>
      </c>
      <c r="R98" t="s">
        <v>104</v>
      </c>
      <c r="S98" t="s">
        <v>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29"/>
  <sheetViews>
    <sheetView topLeftCell="G1" zoomScale="70" zoomScaleNormal="70" workbookViewId="0">
      <selection activeCell="V1" sqref="V1:AH22"/>
    </sheetView>
  </sheetViews>
  <sheetFormatPr baseColWidth="10" defaultRowHeight="15" x14ac:dyDescent="0.25"/>
  <cols>
    <col min="1" max="1" width="14.5703125" bestFit="1" customWidth="1"/>
    <col min="2" max="2" width="8.28515625" bestFit="1" customWidth="1"/>
    <col min="3" max="3" width="8.85546875" bestFit="1" customWidth="1"/>
    <col min="4" max="4" width="6.7109375" bestFit="1" customWidth="1"/>
    <col min="5" max="5" width="8.28515625" bestFit="1" customWidth="1"/>
    <col min="6" max="6" width="6.7109375" bestFit="1" customWidth="1"/>
    <col min="7" max="7" width="7.28515625" bestFit="1" customWidth="1"/>
    <col min="8" max="8" width="7.5703125" bestFit="1" customWidth="1"/>
    <col min="9" max="9" width="7.5703125" customWidth="1"/>
    <col min="10" max="10" width="4.5703125" bestFit="1" customWidth="1"/>
    <col min="11" max="11" width="3.7109375" bestFit="1" customWidth="1"/>
    <col min="12" max="12" width="5" bestFit="1" customWidth="1"/>
    <col min="13" max="13" width="8.28515625" bestFit="1" customWidth="1"/>
    <col min="22" max="25" width="12" bestFit="1" customWidth="1"/>
    <col min="26" max="33" width="11.5703125" bestFit="1" customWidth="1"/>
    <col min="34" max="34" width="8.855468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6" x14ac:dyDescent="0.25">
      <c r="A2" s="3">
        <v>46184.875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6" x14ac:dyDescent="0.25">
      <c r="A3" s="3">
        <v>46184.881249999999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I3">
        <v>5</v>
      </c>
      <c r="J3">
        <v>3</v>
      </c>
      <c r="K3">
        <v>0</v>
      </c>
      <c r="L3">
        <v>3</v>
      </c>
      <c r="M3">
        <v>3</v>
      </c>
    </row>
    <row r="4" spans="1:16" x14ac:dyDescent="0.25">
      <c r="A4" s="3">
        <v>46184.93472222222</v>
      </c>
      <c r="B4">
        <v>5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0</v>
      </c>
      <c r="L4">
        <v>3</v>
      </c>
      <c r="M4">
        <v>5</v>
      </c>
    </row>
    <row r="5" spans="1:16" x14ac:dyDescent="0.25">
      <c r="A5" s="3">
        <v>46185.218055555553</v>
      </c>
      <c r="B5">
        <v>5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6</v>
      </c>
      <c r="J5">
        <v>3</v>
      </c>
      <c r="K5">
        <v>0</v>
      </c>
      <c r="L5">
        <v>3</v>
      </c>
      <c r="M5">
        <v>5</v>
      </c>
    </row>
    <row r="6" spans="1:16" x14ac:dyDescent="0.25">
      <c r="A6" s="3">
        <v>46185.224305555559</v>
      </c>
      <c r="B6">
        <v>8</v>
      </c>
      <c r="C6">
        <v>3</v>
      </c>
      <c r="D6">
        <v>3</v>
      </c>
      <c r="E6">
        <v>6</v>
      </c>
      <c r="F6">
        <v>3</v>
      </c>
      <c r="G6">
        <v>8</v>
      </c>
      <c r="H6">
        <v>3</v>
      </c>
      <c r="I6">
        <v>3</v>
      </c>
      <c r="J6">
        <v>6</v>
      </c>
      <c r="K6">
        <v>3</v>
      </c>
      <c r="L6">
        <v>3</v>
      </c>
      <c r="M6">
        <v>5</v>
      </c>
    </row>
    <row r="7" spans="1:16" x14ac:dyDescent="0.25">
      <c r="A7" s="3">
        <v>46185.23333333333</v>
      </c>
      <c r="B7">
        <v>5</v>
      </c>
      <c r="C7">
        <v>6</v>
      </c>
      <c r="D7">
        <v>6</v>
      </c>
      <c r="E7">
        <v>3</v>
      </c>
      <c r="F7">
        <v>8</v>
      </c>
      <c r="G7">
        <v>3</v>
      </c>
      <c r="H7">
        <v>6</v>
      </c>
      <c r="I7">
        <v>3</v>
      </c>
      <c r="J7">
        <v>3</v>
      </c>
      <c r="K7">
        <v>0</v>
      </c>
      <c r="L7">
        <v>6</v>
      </c>
      <c r="M7">
        <v>8</v>
      </c>
    </row>
    <row r="8" spans="1:16" x14ac:dyDescent="0.25">
      <c r="A8" s="3">
        <v>46185.895293248053</v>
      </c>
      <c r="B8">
        <v>10</v>
      </c>
      <c r="C8">
        <v>9</v>
      </c>
      <c r="D8">
        <v>6</v>
      </c>
      <c r="E8">
        <v>3</v>
      </c>
      <c r="F8">
        <v>8</v>
      </c>
      <c r="G8">
        <v>6</v>
      </c>
      <c r="H8">
        <v>9</v>
      </c>
      <c r="I8">
        <v>3</v>
      </c>
      <c r="J8">
        <v>6</v>
      </c>
      <c r="K8">
        <v>3</v>
      </c>
      <c r="L8">
        <v>6</v>
      </c>
      <c r="M8">
        <v>13</v>
      </c>
    </row>
    <row r="9" spans="1:16" x14ac:dyDescent="0.25">
      <c r="A9" s="3">
        <v>46185.94918325411</v>
      </c>
      <c r="B9">
        <v>5</v>
      </c>
      <c r="C9">
        <v>6</v>
      </c>
      <c r="D9">
        <v>6</v>
      </c>
      <c r="E9">
        <v>3</v>
      </c>
      <c r="F9">
        <v>8</v>
      </c>
      <c r="G9">
        <v>3</v>
      </c>
      <c r="H9">
        <v>6</v>
      </c>
      <c r="I9">
        <v>3</v>
      </c>
      <c r="J9">
        <v>3</v>
      </c>
      <c r="K9">
        <v>0</v>
      </c>
      <c r="L9">
        <v>6</v>
      </c>
      <c r="M9">
        <v>8</v>
      </c>
      <c r="P9" s="2"/>
    </row>
    <row r="10" spans="1:16" x14ac:dyDescent="0.25">
      <c r="A10" s="3">
        <v>46186.129861111112</v>
      </c>
      <c r="B10">
        <v>5</v>
      </c>
      <c r="C10">
        <v>6</v>
      </c>
      <c r="D10">
        <v>9</v>
      </c>
      <c r="E10">
        <v>6</v>
      </c>
      <c r="F10">
        <v>11</v>
      </c>
      <c r="G10">
        <v>6</v>
      </c>
      <c r="H10">
        <v>6</v>
      </c>
      <c r="I10">
        <v>3</v>
      </c>
      <c r="J10">
        <v>3</v>
      </c>
      <c r="K10">
        <v>0</v>
      </c>
      <c r="L10">
        <v>9</v>
      </c>
      <c r="M10">
        <v>8</v>
      </c>
    </row>
    <row r="11" spans="1:16" x14ac:dyDescent="0.25">
      <c r="A11" s="3">
        <v>46186.146527777775</v>
      </c>
      <c r="B11">
        <v>5</v>
      </c>
      <c r="C11">
        <v>6</v>
      </c>
      <c r="D11">
        <v>9</v>
      </c>
      <c r="E11">
        <v>6</v>
      </c>
      <c r="F11">
        <v>13</v>
      </c>
      <c r="G11">
        <v>6</v>
      </c>
      <c r="H11">
        <v>6</v>
      </c>
      <c r="I11">
        <v>3</v>
      </c>
      <c r="J11">
        <v>3</v>
      </c>
      <c r="K11">
        <v>0</v>
      </c>
      <c r="L11">
        <v>11</v>
      </c>
      <c r="M11">
        <v>8</v>
      </c>
    </row>
    <row r="12" spans="1:16" x14ac:dyDescent="0.25">
      <c r="A12" s="3">
        <v>46186.159722222219</v>
      </c>
      <c r="B12">
        <v>5</v>
      </c>
      <c r="C12">
        <v>6</v>
      </c>
      <c r="D12">
        <v>9</v>
      </c>
      <c r="E12">
        <v>6</v>
      </c>
      <c r="F12">
        <v>11</v>
      </c>
      <c r="G12">
        <v>6</v>
      </c>
      <c r="H12">
        <v>6</v>
      </c>
      <c r="I12">
        <v>3</v>
      </c>
      <c r="J12">
        <v>3</v>
      </c>
      <c r="K12">
        <v>0</v>
      </c>
      <c r="L12">
        <v>9</v>
      </c>
      <c r="M12">
        <v>8</v>
      </c>
    </row>
    <row r="13" spans="1:16" x14ac:dyDescent="0.25">
      <c r="A13" s="3"/>
    </row>
    <row r="14" spans="1:16" x14ac:dyDescent="0.25">
      <c r="A14" s="3"/>
    </row>
    <row r="15" spans="1:16" x14ac:dyDescent="0.25">
      <c r="A15" s="3"/>
    </row>
    <row r="16" spans="1:16" x14ac:dyDescent="0.25">
      <c r="A16" s="3"/>
    </row>
    <row r="17" spans="1:34" x14ac:dyDescent="0.25">
      <c r="A17" s="3"/>
    </row>
    <row r="18" spans="1:34" x14ac:dyDescent="0.25">
      <c r="A18" s="3"/>
    </row>
    <row r="19" spans="1:34" x14ac:dyDescent="0.25">
      <c r="A19" s="3"/>
    </row>
    <row r="20" spans="1:34" x14ac:dyDescent="0.25">
      <c r="A20" s="3"/>
    </row>
    <row r="21" spans="1:34" x14ac:dyDescent="0.25">
      <c r="A21" s="3"/>
    </row>
    <row r="22" spans="1:34" x14ac:dyDescent="0.25">
      <c r="A22" s="3"/>
    </row>
    <row r="23" spans="1:34" x14ac:dyDescent="0.25">
      <c r="A23" s="3"/>
      <c r="V23" s="1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</row>
    <row r="24" spans="1:34" x14ac:dyDescent="0.25">
      <c r="A24" s="3"/>
      <c r="V24" s="1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 spans="1:34" x14ac:dyDescent="0.25">
      <c r="A25" s="3"/>
      <c r="V25" s="1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</row>
    <row r="26" spans="1:34" x14ac:dyDescent="0.25">
      <c r="A26" s="3"/>
      <c r="V26" s="1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 spans="1:34" x14ac:dyDescent="0.25">
      <c r="A27" s="3"/>
      <c r="V27" s="1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</row>
    <row r="28" spans="1:34" x14ac:dyDescent="0.25">
      <c r="A28" s="3"/>
      <c r="V28" s="1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</row>
    <row r="29" spans="1:34" x14ac:dyDescent="0.25">
      <c r="V29" s="1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</row>
  </sheetData>
  <conditionalFormatting sqref="B2:M1048576 N10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08522-43D8-4031-AA49-B36D913EF694}">
  <dimension ref="A1:M22"/>
  <sheetViews>
    <sheetView tabSelected="1" zoomScale="85" zoomScaleNormal="85" workbookViewId="0">
      <selection activeCell="G35" sqref="G35"/>
    </sheetView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 cm="1">
        <f t="array" aca="1" ref="A2" ca="1">INDIRECT("A" &amp; ROUNDDOWN(ROW()/2,)+1)</f>
        <v>46184.875</v>
      </c>
      <c r="B2" s="4" cm="1">
        <f t="array" ref="B2">INDEX(Poeng!$A$1:$M$1000,ROUNDDOWN(ROW()/2+MOD(ROW(),2),0)+1,COLUMN())</f>
        <v>0</v>
      </c>
      <c r="C2" s="4" cm="1">
        <f t="array" ref="C2">INDEX(Poeng!$A$1:$M$1000,ROUNDDOWN(ROW()/2+MOD(ROW(),2),0)+1,COLUMN())</f>
        <v>0</v>
      </c>
      <c r="D2" s="4" cm="1">
        <f t="array" ref="D2">INDEX(Poeng!$A$1:$M$1000,ROUNDDOWN(ROW()/2+MOD(ROW(),2),0)+1,COLUMN())</f>
        <v>0</v>
      </c>
      <c r="E2" s="4" cm="1">
        <f t="array" ref="E2">INDEX(Poeng!$A$1:$M$1000,ROUNDDOWN(ROW()/2+MOD(ROW(),2),0)+1,COLUMN())</f>
        <v>0</v>
      </c>
      <c r="F2" s="4" cm="1">
        <f t="array" ref="F2">INDEX(Poeng!$A$1:$M$1000,ROUNDDOWN(ROW()/2+MOD(ROW(),2),0)+1,COLUMN())</f>
        <v>0</v>
      </c>
      <c r="G2" s="4" cm="1">
        <f t="array" ref="G2">INDEX(Poeng!$A$1:$M$1000,ROUNDDOWN(ROW()/2+MOD(ROW(),2),0)+1,COLUMN())</f>
        <v>0</v>
      </c>
      <c r="H2" s="4" cm="1">
        <f t="array" ref="H2">INDEX(Poeng!$A$1:$M$1000,ROUNDDOWN(ROW()/2+MOD(ROW(),2),0)+1,COLUMN())</f>
        <v>0</v>
      </c>
      <c r="I2" s="4" cm="1">
        <f t="array" ref="I2">INDEX(Poeng!$A$1:$M$1000,ROUNDDOWN(ROW()/2+MOD(ROW(),2),0)+1,COLUMN())</f>
        <v>0</v>
      </c>
      <c r="J2" s="4" cm="1">
        <f t="array" ref="J2">INDEX(Poeng!$A$1:$M$1000,ROUNDDOWN(ROW()/2+MOD(ROW(),2),0)+1,COLUMN())</f>
        <v>0</v>
      </c>
      <c r="K2" s="4" cm="1">
        <f t="array" ref="K2">INDEX(Poeng!$A$1:$M$1000,ROUNDDOWN(ROW()/2+MOD(ROW(),2),0)+1,COLUMN())</f>
        <v>0</v>
      </c>
      <c r="L2" s="4" cm="1">
        <f t="array" ref="L2">INDEX(Poeng!$A$1:$M$1000,ROUNDDOWN(ROW()/2+MOD(ROW(),2),0)+1,COLUMN())</f>
        <v>0</v>
      </c>
      <c r="M2" s="4" cm="1">
        <f t="array" ref="M2">INDEX(Poeng!$A$1:$M$1000,ROUNDDOWN(ROW()/2+MOD(ROW(),2),0)+1,COLUMN())</f>
        <v>0</v>
      </c>
    </row>
    <row r="3" spans="1:13" x14ac:dyDescent="0.25">
      <c r="A3" s="1" cm="1">
        <f t="array" aca="1" ref="A3" ca="1">INDIRECT("A" &amp; ROUNDDOWN(ROW()/2,)+1)</f>
        <v>46184.875</v>
      </c>
      <c r="B3" s="4" cm="1">
        <f t="array" ref="B3">INDEX(Poeng!$A$1:$M$1000,ROUNDDOWN(ROW()/2+MOD(ROW(),2),0)+1,COLUMN())</f>
        <v>3</v>
      </c>
      <c r="C3" s="4" cm="1">
        <f t="array" ref="C3">INDEX(Poeng!$A$1:$M$1000,ROUNDDOWN(ROW()/2+MOD(ROW(),2),0)+1,COLUMN())</f>
        <v>3</v>
      </c>
      <c r="D3" s="4" cm="1">
        <f t="array" ref="D3">INDEX(Poeng!$A$1:$M$1000,ROUNDDOWN(ROW()/2+MOD(ROW(),2),0)+1,COLUMN())</f>
        <v>3</v>
      </c>
      <c r="E3" s="4" cm="1">
        <f t="array" ref="E3">INDEX(Poeng!$A$1:$M$1000,ROUNDDOWN(ROW()/2+MOD(ROW(),2),0)+1,COLUMN())</f>
        <v>3</v>
      </c>
      <c r="F3" s="4" cm="1">
        <f t="array" ref="F3">INDEX(Poeng!$A$1:$M$1000,ROUNDDOWN(ROW()/2+MOD(ROW(),2),0)+1,COLUMN())</f>
        <v>3</v>
      </c>
      <c r="G3" s="4" cm="1">
        <f t="array" ref="G3">INDEX(Poeng!$A$1:$M$1000,ROUNDDOWN(ROW()/2+MOD(ROW(),2),0)+1,COLUMN())</f>
        <v>3</v>
      </c>
      <c r="H3" s="4" cm="1">
        <f t="array" ref="H3">INDEX(Poeng!$A$1:$M$1000,ROUNDDOWN(ROW()/2+MOD(ROW(),2),0)+1,COLUMN())</f>
        <v>3</v>
      </c>
      <c r="I3" s="4" cm="1">
        <f t="array" ref="I3">INDEX(Poeng!$A$1:$M$1000,ROUNDDOWN(ROW()/2+MOD(ROW(),2),0)+1,COLUMN())</f>
        <v>5</v>
      </c>
      <c r="J3" s="4" cm="1">
        <f t="array" ref="J3">INDEX(Poeng!$A$1:$M$1000,ROUNDDOWN(ROW()/2+MOD(ROW(),2),0)+1,COLUMN())</f>
        <v>3</v>
      </c>
      <c r="K3" s="4" cm="1">
        <f t="array" ref="K3">INDEX(Poeng!$A$1:$M$1000,ROUNDDOWN(ROW()/2+MOD(ROW(),2),0)+1,COLUMN())</f>
        <v>0</v>
      </c>
      <c r="L3" s="4" cm="1">
        <f t="array" ref="L3">INDEX(Poeng!$A$1:$M$1000,ROUNDDOWN(ROW()/2+MOD(ROW(),2),0)+1,COLUMN())</f>
        <v>3</v>
      </c>
      <c r="M3" s="4" cm="1">
        <f t="array" ref="M3">INDEX(Poeng!$A$1:$M$1000,ROUNDDOWN(ROW()/2+MOD(ROW(),2),0)+1,COLUMN())</f>
        <v>3</v>
      </c>
    </row>
    <row r="4" spans="1:13" x14ac:dyDescent="0.25">
      <c r="A4" s="1" cm="1">
        <f t="array" aca="1" ref="A4" ca="1">INDIRECT("A" &amp; ROUNDDOWN(ROW()/2,)+1)</f>
        <v>46184.881249999999</v>
      </c>
      <c r="B4" s="4" cm="1">
        <f t="array" ref="B4">INDEX(Poeng!$A$1:$M$1000,ROUNDDOWN(ROW()/2+MOD(ROW(),2),0)+1,COLUMN())</f>
        <v>3</v>
      </c>
      <c r="C4" s="4" cm="1">
        <f t="array" ref="C4">INDEX(Poeng!$A$1:$M$1000,ROUNDDOWN(ROW()/2+MOD(ROW(),2),0)+1,COLUMN())</f>
        <v>3</v>
      </c>
      <c r="D4" s="4" cm="1">
        <f t="array" ref="D4">INDEX(Poeng!$A$1:$M$1000,ROUNDDOWN(ROW()/2+MOD(ROW(),2),0)+1,COLUMN())</f>
        <v>3</v>
      </c>
      <c r="E4" s="4" cm="1">
        <f t="array" ref="E4">INDEX(Poeng!$A$1:$M$1000,ROUNDDOWN(ROW()/2+MOD(ROW(),2),0)+1,COLUMN())</f>
        <v>3</v>
      </c>
      <c r="F4" s="4" cm="1">
        <f t="array" ref="F4">INDEX(Poeng!$A$1:$M$1000,ROUNDDOWN(ROW()/2+MOD(ROW(),2),0)+1,COLUMN())</f>
        <v>3</v>
      </c>
      <c r="G4" s="4" cm="1">
        <f t="array" ref="G4">INDEX(Poeng!$A$1:$M$1000,ROUNDDOWN(ROW()/2+MOD(ROW(),2),0)+1,COLUMN())</f>
        <v>3</v>
      </c>
      <c r="H4" s="4" cm="1">
        <f t="array" ref="H4">INDEX(Poeng!$A$1:$M$1000,ROUNDDOWN(ROW()/2+MOD(ROW(),2),0)+1,COLUMN())</f>
        <v>3</v>
      </c>
      <c r="I4" s="4" cm="1">
        <f t="array" ref="I4">INDEX(Poeng!$A$1:$M$1000,ROUNDDOWN(ROW()/2+MOD(ROW(),2),0)+1,COLUMN())</f>
        <v>5</v>
      </c>
      <c r="J4" s="4" cm="1">
        <f t="array" ref="J4">INDEX(Poeng!$A$1:$M$1000,ROUNDDOWN(ROW()/2+MOD(ROW(),2),0)+1,COLUMN())</f>
        <v>3</v>
      </c>
      <c r="K4" s="4" cm="1">
        <f t="array" ref="K4">INDEX(Poeng!$A$1:$M$1000,ROUNDDOWN(ROW()/2+MOD(ROW(),2),0)+1,COLUMN())</f>
        <v>0</v>
      </c>
      <c r="L4" s="4" cm="1">
        <f t="array" ref="L4">INDEX(Poeng!$A$1:$M$1000,ROUNDDOWN(ROW()/2+MOD(ROW(),2),0)+1,COLUMN())</f>
        <v>3</v>
      </c>
      <c r="M4" s="4" cm="1">
        <f t="array" ref="M4">INDEX(Poeng!$A$1:$M$1000,ROUNDDOWN(ROW()/2+MOD(ROW(),2),0)+1,COLUMN())</f>
        <v>3</v>
      </c>
    </row>
    <row r="5" spans="1:13" x14ac:dyDescent="0.25">
      <c r="A5" s="1" cm="1">
        <f t="array" aca="1" ref="A5" ca="1">INDIRECT("A" &amp; ROUNDDOWN(ROW()/2,)+1)</f>
        <v>46184.881249999999</v>
      </c>
      <c r="B5" s="4" cm="1">
        <f t="array" ref="B5">INDEX(Poeng!$A$1:$M$1000,ROUNDDOWN(ROW()/2+MOD(ROW(),2),0)+1,COLUMN())</f>
        <v>5</v>
      </c>
      <c r="C5" s="4" cm="1">
        <f t="array" ref="C5">INDEX(Poeng!$A$1:$M$1000,ROUNDDOWN(ROW()/2+MOD(ROW(),2),0)+1,COLUMN())</f>
        <v>3</v>
      </c>
      <c r="D5" s="4" cm="1">
        <f t="array" ref="D5">INDEX(Poeng!$A$1:$M$1000,ROUNDDOWN(ROW()/2+MOD(ROW(),2),0)+1,COLUMN())</f>
        <v>3</v>
      </c>
      <c r="E5" s="4" cm="1">
        <f t="array" ref="E5">INDEX(Poeng!$A$1:$M$1000,ROUNDDOWN(ROW()/2+MOD(ROW(),2),0)+1,COLUMN())</f>
        <v>3</v>
      </c>
      <c r="F5" s="4" cm="1">
        <f t="array" ref="F5">INDEX(Poeng!$A$1:$M$1000,ROUNDDOWN(ROW()/2+MOD(ROW(),2),0)+1,COLUMN())</f>
        <v>3</v>
      </c>
      <c r="G5" s="4" cm="1">
        <f t="array" ref="G5">INDEX(Poeng!$A$1:$M$1000,ROUNDDOWN(ROW()/2+MOD(ROW(),2),0)+1,COLUMN())</f>
        <v>3</v>
      </c>
      <c r="H5" s="4" cm="1">
        <f t="array" ref="H5">INDEX(Poeng!$A$1:$M$1000,ROUNDDOWN(ROW()/2+MOD(ROW(),2),0)+1,COLUMN())</f>
        <v>3</v>
      </c>
      <c r="I5" s="4" cm="1">
        <f t="array" ref="I5">INDEX(Poeng!$A$1:$M$1000,ROUNDDOWN(ROW()/2+MOD(ROW(),2),0)+1,COLUMN())</f>
        <v>3</v>
      </c>
      <c r="J5" s="4" cm="1">
        <f t="array" ref="J5">INDEX(Poeng!$A$1:$M$1000,ROUNDDOWN(ROW()/2+MOD(ROW(),2),0)+1,COLUMN())</f>
        <v>3</v>
      </c>
      <c r="K5" s="4" cm="1">
        <f t="array" ref="K5">INDEX(Poeng!$A$1:$M$1000,ROUNDDOWN(ROW()/2+MOD(ROW(),2),0)+1,COLUMN())</f>
        <v>0</v>
      </c>
      <c r="L5" s="4" cm="1">
        <f t="array" ref="L5">INDEX(Poeng!$A$1:$M$1000,ROUNDDOWN(ROW()/2+MOD(ROW(),2),0)+1,COLUMN())</f>
        <v>3</v>
      </c>
      <c r="M5" s="4" cm="1">
        <f t="array" ref="M5">INDEX(Poeng!$A$1:$M$1000,ROUNDDOWN(ROW()/2+MOD(ROW(),2),0)+1,COLUMN())</f>
        <v>5</v>
      </c>
    </row>
    <row r="6" spans="1:13" x14ac:dyDescent="0.25">
      <c r="A6" s="1" cm="1">
        <f t="array" aca="1" ref="A6" ca="1">INDIRECT("A" &amp; ROUNDDOWN(ROW()/2,)+1)</f>
        <v>46184.93472222222</v>
      </c>
      <c r="B6" s="4" cm="1">
        <f t="array" ref="B6">INDEX(Poeng!$A$1:$M$1000,ROUNDDOWN(ROW()/2+MOD(ROW(),2),0)+1,COLUMN())</f>
        <v>5</v>
      </c>
      <c r="C6" s="4" cm="1">
        <f t="array" ref="C6">INDEX(Poeng!$A$1:$M$1000,ROUNDDOWN(ROW()/2+MOD(ROW(),2),0)+1,COLUMN())</f>
        <v>3</v>
      </c>
      <c r="D6" s="4" cm="1">
        <f t="array" ref="D6">INDEX(Poeng!$A$1:$M$1000,ROUNDDOWN(ROW()/2+MOD(ROW(),2),0)+1,COLUMN())</f>
        <v>3</v>
      </c>
      <c r="E6" s="4" cm="1">
        <f t="array" ref="E6">INDEX(Poeng!$A$1:$M$1000,ROUNDDOWN(ROW()/2+MOD(ROW(),2),0)+1,COLUMN())</f>
        <v>3</v>
      </c>
      <c r="F6" s="4" cm="1">
        <f t="array" ref="F6">INDEX(Poeng!$A$1:$M$1000,ROUNDDOWN(ROW()/2+MOD(ROW(),2),0)+1,COLUMN())</f>
        <v>3</v>
      </c>
      <c r="G6" s="4" cm="1">
        <f t="array" ref="G6">INDEX(Poeng!$A$1:$M$1000,ROUNDDOWN(ROW()/2+MOD(ROW(),2),0)+1,COLUMN())</f>
        <v>3</v>
      </c>
      <c r="H6" s="4" cm="1">
        <f t="array" ref="H6">INDEX(Poeng!$A$1:$M$1000,ROUNDDOWN(ROW()/2+MOD(ROW(),2),0)+1,COLUMN())</f>
        <v>3</v>
      </c>
      <c r="I6" s="4" cm="1">
        <f t="array" ref="I6">INDEX(Poeng!$A$1:$M$1000,ROUNDDOWN(ROW()/2+MOD(ROW(),2),0)+1,COLUMN())</f>
        <v>3</v>
      </c>
      <c r="J6" s="4" cm="1">
        <f t="array" ref="J6">INDEX(Poeng!$A$1:$M$1000,ROUNDDOWN(ROW()/2+MOD(ROW(),2),0)+1,COLUMN())</f>
        <v>3</v>
      </c>
      <c r="K6" s="4" cm="1">
        <f t="array" ref="K6">INDEX(Poeng!$A$1:$M$1000,ROUNDDOWN(ROW()/2+MOD(ROW(),2),0)+1,COLUMN())</f>
        <v>0</v>
      </c>
      <c r="L6" s="4" cm="1">
        <f t="array" ref="L6">INDEX(Poeng!$A$1:$M$1000,ROUNDDOWN(ROW()/2+MOD(ROW(),2),0)+1,COLUMN())</f>
        <v>3</v>
      </c>
      <c r="M6" s="4" cm="1">
        <f t="array" ref="M6">INDEX(Poeng!$A$1:$M$1000,ROUNDDOWN(ROW()/2+MOD(ROW(),2),0)+1,COLUMN())</f>
        <v>5</v>
      </c>
    </row>
    <row r="7" spans="1:13" x14ac:dyDescent="0.25">
      <c r="A7" s="1" cm="1">
        <f t="array" aca="1" ref="A7" ca="1">INDIRECT("A" &amp; ROUNDDOWN(ROW()/2,)+1)</f>
        <v>46184.93472222222</v>
      </c>
      <c r="B7" s="4" cm="1">
        <f t="array" ref="B7">INDEX(Poeng!$A$1:$M$1000,ROUNDDOWN(ROW()/2+MOD(ROW(),2),0)+1,COLUMN())</f>
        <v>5</v>
      </c>
      <c r="C7" s="4" cm="1">
        <f t="array" ref="C7">INDEX(Poeng!$A$1:$M$1000,ROUNDDOWN(ROW()/2+MOD(ROW(),2),0)+1,COLUMN())</f>
        <v>3</v>
      </c>
      <c r="D7" s="4" cm="1">
        <f t="array" ref="D7">INDEX(Poeng!$A$1:$M$1000,ROUNDDOWN(ROW()/2+MOD(ROW(),2),0)+1,COLUMN())</f>
        <v>3</v>
      </c>
      <c r="E7" s="4" cm="1">
        <f t="array" ref="E7">INDEX(Poeng!$A$1:$M$1000,ROUNDDOWN(ROW()/2+MOD(ROW(),2),0)+1,COLUMN())</f>
        <v>3</v>
      </c>
      <c r="F7" s="4" cm="1">
        <f t="array" ref="F7">INDEX(Poeng!$A$1:$M$1000,ROUNDDOWN(ROW()/2+MOD(ROW(),2),0)+1,COLUMN())</f>
        <v>3</v>
      </c>
      <c r="G7" s="4" cm="1">
        <f t="array" ref="G7">INDEX(Poeng!$A$1:$M$1000,ROUNDDOWN(ROW()/2+MOD(ROW(),2),0)+1,COLUMN())</f>
        <v>3</v>
      </c>
      <c r="H7" s="4" cm="1">
        <f t="array" ref="H7">INDEX(Poeng!$A$1:$M$1000,ROUNDDOWN(ROW()/2+MOD(ROW(),2),0)+1,COLUMN())</f>
        <v>3</v>
      </c>
      <c r="I7" s="4" cm="1">
        <f t="array" ref="I7">INDEX(Poeng!$A$1:$M$1000,ROUNDDOWN(ROW()/2+MOD(ROW(),2),0)+1,COLUMN())</f>
        <v>6</v>
      </c>
      <c r="J7" s="4" cm="1">
        <f t="array" ref="J7">INDEX(Poeng!$A$1:$M$1000,ROUNDDOWN(ROW()/2+MOD(ROW(),2),0)+1,COLUMN())</f>
        <v>3</v>
      </c>
      <c r="K7" s="4" cm="1">
        <f t="array" ref="K7">INDEX(Poeng!$A$1:$M$1000,ROUNDDOWN(ROW()/2+MOD(ROW(),2),0)+1,COLUMN())</f>
        <v>0</v>
      </c>
      <c r="L7" s="4" cm="1">
        <f t="array" ref="L7">INDEX(Poeng!$A$1:$M$1000,ROUNDDOWN(ROW()/2+MOD(ROW(),2),0)+1,COLUMN())</f>
        <v>3</v>
      </c>
      <c r="M7" s="4" cm="1">
        <f t="array" ref="M7">INDEX(Poeng!$A$1:$M$1000,ROUNDDOWN(ROW()/2+MOD(ROW(),2),0)+1,COLUMN())</f>
        <v>5</v>
      </c>
    </row>
    <row r="8" spans="1:13" x14ac:dyDescent="0.25">
      <c r="A8" s="1" cm="1">
        <f t="array" aca="1" ref="A8" ca="1">INDIRECT("A" &amp; ROUNDDOWN(ROW()/2,)+1)</f>
        <v>46185.218055555553</v>
      </c>
      <c r="B8" s="4" cm="1">
        <f t="array" ref="B8">INDEX(Poeng!$A$1:$M$1000,ROUNDDOWN(ROW()/2+MOD(ROW(),2),0)+1,COLUMN())</f>
        <v>5</v>
      </c>
      <c r="C8" s="4" cm="1">
        <f t="array" ref="C8">INDEX(Poeng!$A$1:$M$1000,ROUNDDOWN(ROW()/2+MOD(ROW(),2),0)+1,COLUMN())</f>
        <v>3</v>
      </c>
      <c r="D8" s="4" cm="1">
        <f t="array" ref="D8">INDEX(Poeng!$A$1:$M$1000,ROUNDDOWN(ROW()/2+MOD(ROW(),2),0)+1,COLUMN())</f>
        <v>3</v>
      </c>
      <c r="E8" s="4" cm="1">
        <f t="array" ref="E8">INDEX(Poeng!$A$1:$M$1000,ROUNDDOWN(ROW()/2+MOD(ROW(),2),0)+1,COLUMN())</f>
        <v>3</v>
      </c>
      <c r="F8" s="4" cm="1">
        <f t="array" ref="F8">INDEX(Poeng!$A$1:$M$1000,ROUNDDOWN(ROW()/2+MOD(ROW(),2),0)+1,COLUMN())</f>
        <v>3</v>
      </c>
      <c r="G8" s="4" cm="1">
        <f t="array" ref="G8">INDEX(Poeng!$A$1:$M$1000,ROUNDDOWN(ROW()/2+MOD(ROW(),2),0)+1,COLUMN())</f>
        <v>3</v>
      </c>
      <c r="H8" s="4" cm="1">
        <f t="array" ref="H8">INDEX(Poeng!$A$1:$M$1000,ROUNDDOWN(ROW()/2+MOD(ROW(),2),0)+1,COLUMN())</f>
        <v>3</v>
      </c>
      <c r="I8" s="4" cm="1">
        <f t="array" ref="I8">INDEX(Poeng!$A$1:$M$1000,ROUNDDOWN(ROW()/2+MOD(ROW(),2),0)+1,COLUMN())</f>
        <v>6</v>
      </c>
      <c r="J8" s="4" cm="1">
        <f t="array" ref="J8">INDEX(Poeng!$A$1:$M$1000,ROUNDDOWN(ROW()/2+MOD(ROW(),2),0)+1,COLUMN())</f>
        <v>3</v>
      </c>
      <c r="K8" s="4" cm="1">
        <f t="array" ref="K8">INDEX(Poeng!$A$1:$M$1000,ROUNDDOWN(ROW()/2+MOD(ROW(),2),0)+1,COLUMN())</f>
        <v>0</v>
      </c>
      <c r="L8" s="4" cm="1">
        <f t="array" ref="L8">INDEX(Poeng!$A$1:$M$1000,ROUNDDOWN(ROW()/2+MOD(ROW(),2),0)+1,COLUMN())</f>
        <v>3</v>
      </c>
      <c r="M8" s="4" cm="1">
        <f t="array" ref="M8">INDEX(Poeng!$A$1:$M$1000,ROUNDDOWN(ROW()/2+MOD(ROW(),2),0)+1,COLUMN())</f>
        <v>5</v>
      </c>
    </row>
    <row r="9" spans="1:13" x14ac:dyDescent="0.25">
      <c r="A9" s="1" cm="1">
        <f t="array" aca="1" ref="A9" ca="1">INDIRECT("A" &amp; ROUNDDOWN(ROW()/2,)+1)</f>
        <v>46185.218055555553</v>
      </c>
      <c r="B9" s="4" cm="1">
        <f t="array" ref="B9">INDEX(Poeng!$A$1:$M$1000,ROUNDDOWN(ROW()/2+MOD(ROW(),2),0)+1,COLUMN())</f>
        <v>8</v>
      </c>
      <c r="C9" s="4" cm="1">
        <f t="array" ref="C9">INDEX(Poeng!$A$1:$M$1000,ROUNDDOWN(ROW()/2+MOD(ROW(),2),0)+1,COLUMN())</f>
        <v>3</v>
      </c>
      <c r="D9" s="4" cm="1">
        <f t="array" ref="D9">INDEX(Poeng!$A$1:$M$1000,ROUNDDOWN(ROW()/2+MOD(ROW(),2),0)+1,COLUMN())</f>
        <v>3</v>
      </c>
      <c r="E9" s="4" cm="1">
        <f t="array" ref="E9">INDEX(Poeng!$A$1:$M$1000,ROUNDDOWN(ROW()/2+MOD(ROW(),2),0)+1,COLUMN())</f>
        <v>6</v>
      </c>
      <c r="F9" s="4" cm="1">
        <f t="array" ref="F9">INDEX(Poeng!$A$1:$M$1000,ROUNDDOWN(ROW()/2+MOD(ROW(),2),0)+1,COLUMN())</f>
        <v>3</v>
      </c>
      <c r="G9" s="4" cm="1">
        <f t="array" ref="G9">INDEX(Poeng!$A$1:$M$1000,ROUNDDOWN(ROW()/2+MOD(ROW(),2),0)+1,COLUMN())</f>
        <v>8</v>
      </c>
      <c r="H9" s="4" cm="1">
        <f t="array" ref="H9">INDEX(Poeng!$A$1:$M$1000,ROUNDDOWN(ROW()/2+MOD(ROW(),2),0)+1,COLUMN())</f>
        <v>3</v>
      </c>
      <c r="I9" s="4" cm="1">
        <f t="array" ref="I9">INDEX(Poeng!$A$1:$M$1000,ROUNDDOWN(ROW()/2+MOD(ROW(),2),0)+1,COLUMN())</f>
        <v>3</v>
      </c>
      <c r="J9" s="4" cm="1">
        <f t="array" ref="J9">INDEX(Poeng!$A$1:$M$1000,ROUNDDOWN(ROW()/2+MOD(ROW(),2),0)+1,COLUMN())</f>
        <v>6</v>
      </c>
      <c r="K9" s="4" cm="1">
        <f t="array" ref="K9">INDEX(Poeng!$A$1:$M$1000,ROUNDDOWN(ROW()/2+MOD(ROW(),2),0)+1,COLUMN())</f>
        <v>3</v>
      </c>
      <c r="L9" s="4" cm="1">
        <f t="array" ref="L9">INDEX(Poeng!$A$1:$M$1000,ROUNDDOWN(ROW()/2+MOD(ROW(),2),0)+1,COLUMN())</f>
        <v>3</v>
      </c>
      <c r="M9" s="4" cm="1">
        <f t="array" ref="M9">INDEX(Poeng!$A$1:$M$1000,ROUNDDOWN(ROW()/2+MOD(ROW(),2),0)+1,COLUMN())</f>
        <v>5</v>
      </c>
    </row>
    <row r="10" spans="1:13" x14ac:dyDescent="0.25">
      <c r="A10" s="1" cm="1">
        <f t="array" aca="1" ref="A10" ca="1">INDIRECT("A" &amp; ROUNDDOWN(ROW()/2,)+1)</f>
        <v>46185.224305555559</v>
      </c>
      <c r="B10" s="4" cm="1">
        <f t="array" ref="B10">INDEX(Poeng!$A$1:$M$1000,ROUNDDOWN(ROW()/2+MOD(ROW(),2),0)+1,COLUMN())</f>
        <v>8</v>
      </c>
      <c r="C10" s="4" cm="1">
        <f t="array" ref="C10">INDEX(Poeng!$A$1:$M$1000,ROUNDDOWN(ROW()/2+MOD(ROW(),2),0)+1,COLUMN())</f>
        <v>3</v>
      </c>
      <c r="D10" s="4" cm="1">
        <f t="array" ref="D10">INDEX(Poeng!$A$1:$M$1000,ROUNDDOWN(ROW()/2+MOD(ROW(),2),0)+1,COLUMN())</f>
        <v>3</v>
      </c>
      <c r="E10" s="4" cm="1">
        <f t="array" ref="E10">INDEX(Poeng!$A$1:$M$1000,ROUNDDOWN(ROW()/2+MOD(ROW(),2),0)+1,COLUMN())</f>
        <v>6</v>
      </c>
      <c r="F10" s="4" cm="1">
        <f t="array" ref="F10">INDEX(Poeng!$A$1:$M$1000,ROUNDDOWN(ROW()/2+MOD(ROW(),2),0)+1,COLUMN())</f>
        <v>3</v>
      </c>
      <c r="G10" s="4" cm="1">
        <f t="array" ref="G10">INDEX(Poeng!$A$1:$M$1000,ROUNDDOWN(ROW()/2+MOD(ROW(),2),0)+1,COLUMN())</f>
        <v>8</v>
      </c>
      <c r="H10" s="4" cm="1">
        <f t="array" ref="H10">INDEX(Poeng!$A$1:$M$1000,ROUNDDOWN(ROW()/2+MOD(ROW(),2),0)+1,COLUMN())</f>
        <v>3</v>
      </c>
      <c r="I10" s="4" cm="1">
        <f t="array" ref="I10">INDEX(Poeng!$A$1:$M$1000,ROUNDDOWN(ROW()/2+MOD(ROW(),2),0)+1,COLUMN())</f>
        <v>3</v>
      </c>
      <c r="J10" s="4" cm="1">
        <f t="array" ref="J10">INDEX(Poeng!$A$1:$M$1000,ROUNDDOWN(ROW()/2+MOD(ROW(),2),0)+1,COLUMN())</f>
        <v>6</v>
      </c>
      <c r="K10" s="4" cm="1">
        <f t="array" ref="K10">INDEX(Poeng!$A$1:$M$1000,ROUNDDOWN(ROW()/2+MOD(ROW(),2),0)+1,COLUMN())</f>
        <v>3</v>
      </c>
      <c r="L10" s="4" cm="1">
        <f t="array" ref="L10">INDEX(Poeng!$A$1:$M$1000,ROUNDDOWN(ROW()/2+MOD(ROW(),2),0)+1,COLUMN())</f>
        <v>3</v>
      </c>
      <c r="M10" s="4" cm="1">
        <f t="array" ref="M10">INDEX(Poeng!$A$1:$M$1000,ROUNDDOWN(ROW()/2+MOD(ROW(),2),0)+1,COLUMN())</f>
        <v>5</v>
      </c>
    </row>
    <row r="11" spans="1:13" x14ac:dyDescent="0.25">
      <c r="A11" s="1" cm="1">
        <f t="array" aca="1" ref="A11" ca="1">INDIRECT("A" &amp; ROUNDDOWN(ROW()/2,)+1)</f>
        <v>46185.224305555559</v>
      </c>
      <c r="B11" s="4" cm="1">
        <f t="array" ref="B11">INDEX(Poeng!$A$1:$M$1000,ROUNDDOWN(ROW()/2+MOD(ROW(),2),0)+1,COLUMN())</f>
        <v>5</v>
      </c>
      <c r="C11" s="4" cm="1">
        <f t="array" ref="C11">INDEX(Poeng!$A$1:$M$1000,ROUNDDOWN(ROW()/2+MOD(ROW(),2),0)+1,COLUMN())</f>
        <v>6</v>
      </c>
      <c r="D11" s="4" cm="1">
        <f t="array" ref="D11">INDEX(Poeng!$A$1:$M$1000,ROUNDDOWN(ROW()/2+MOD(ROW(),2),0)+1,COLUMN())</f>
        <v>6</v>
      </c>
      <c r="E11" s="4" cm="1">
        <f t="array" ref="E11">INDEX(Poeng!$A$1:$M$1000,ROUNDDOWN(ROW()/2+MOD(ROW(),2),0)+1,COLUMN())</f>
        <v>3</v>
      </c>
      <c r="F11" s="4" cm="1">
        <f t="array" ref="F11">INDEX(Poeng!$A$1:$M$1000,ROUNDDOWN(ROW()/2+MOD(ROW(),2),0)+1,COLUMN())</f>
        <v>8</v>
      </c>
      <c r="G11" s="4" cm="1">
        <f t="array" ref="G11">INDEX(Poeng!$A$1:$M$1000,ROUNDDOWN(ROW()/2+MOD(ROW(),2),0)+1,COLUMN())</f>
        <v>3</v>
      </c>
      <c r="H11" s="4" cm="1">
        <f t="array" ref="H11">INDEX(Poeng!$A$1:$M$1000,ROUNDDOWN(ROW()/2+MOD(ROW(),2),0)+1,COLUMN())</f>
        <v>6</v>
      </c>
      <c r="I11" s="4" cm="1">
        <f t="array" ref="I11">INDEX(Poeng!$A$1:$M$1000,ROUNDDOWN(ROW()/2+MOD(ROW(),2),0)+1,COLUMN())</f>
        <v>3</v>
      </c>
      <c r="J11" s="4" cm="1">
        <f t="array" ref="J11">INDEX(Poeng!$A$1:$M$1000,ROUNDDOWN(ROW()/2+MOD(ROW(),2),0)+1,COLUMN())</f>
        <v>3</v>
      </c>
      <c r="K11" s="4" cm="1">
        <f t="array" ref="K11">INDEX(Poeng!$A$1:$M$1000,ROUNDDOWN(ROW()/2+MOD(ROW(),2),0)+1,COLUMN())</f>
        <v>0</v>
      </c>
      <c r="L11" s="4" cm="1">
        <f t="array" ref="L11">INDEX(Poeng!$A$1:$M$1000,ROUNDDOWN(ROW()/2+MOD(ROW(),2),0)+1,COLUMN())</f>
        <v>6</v>
      </c>
      <c r="M11" s="4" cm="1">
        <f t="array" ref="M11">INDEX(Poeng!$A$1:$M$1000,ROUNDDOWN(ROW()/2+MOD(ROW(),2),0)+1,COLUMN())</f>
        <v>8</v>
      </c>
    </row>
    <row r="12" spans="1:13" x14ac:dyDescent="0.25">
      <c r="A12" s="1" cm="1">
        <f t="array" aca="1" ref="A12" ca="1">INDIRECT("A" &amp; ROUNDDOWN(ROW()/2,)+1)</f>
        <v>46185.23333333333</v>
      </c>
      <c r="B12" s="4" cm="1">
        <f t="array" ref="B12">INDEX(Poeng!$A$1:$M$1000,ROUNDDOWN(ROW()/2+MOD(ROW(),2),0)+1,COLUMN())</f>
        <v>5</v>
      </c>
      <c r="C12" s="4" cm="1">
        <f t="array" ref="C12">INDEX(Poeng!$A$1:$M$1000,ROUNDDOWN(ROW()/2+MOD(ROW(),2),0)+1,COLUMN())</f>
        <v>6</v>
      </c>
      <c r="D12" s="4" cm="1">
        <f t="array" ref="D12">INDEX(Poeng!$A$1:$M$1000,ROUNDDOWN(ROW()/2+MOD(ROW(),2),0)+1,COLUMN())</f>
        <v>6</v>
      </c>
      <c r="E12" s="4" cm="1">
        <f t="array" ref="E12">INDEX(Poeng!$A$1:$M$1000,ROUNDDOWN(ROW()/2+MOD(ROW(),2),0)+1,COLUMN())</f>
        <v>3</v>
      </c>
      <c r="F12" s="4" cm="1">
        <f t="array" ref="F12">INDEX(Poeng!$A$1:$M$1000,ROUNDDOWN(ROW()/2+MOD(ROW(),2),0)+1,COLUMN())</f>
        <v>8</v>
      </c>
      <c r="G12" s="4" cm="1">
        <f t="array" ref="G12">INDEX(Poeng!$A$1:$M$1000,ROUNDDOWN(ROW()/2+MOD(ROW(),2),0)+1,COLUMN())</f>
        <v>3</v>
      </c>
      <c r="H12" s="4" cm="1">
        <f t="array" ref="H12">INDEX(Poeng!$A$1:$M$1000,ROUNDDOWN(ROW()/2+MOD(ROW(),2),0)+1,COLUMN())</f>
        <v>6</v>
      </c>
      <c r="I12" s="4" cm="1">
        <f t="array" ref="I12">INDEX(Poeng!$A$1:$M$1000,ROUNDDOWN(ROW()/2+MOD(ROW(),2),0)+1,COLUMN())</f>
        <v>3</v>
      </c>
      <c r="J12" s="4" cm="1">
        <f t="array" ref="J12">INDEX(Poeng!$A$1:$M$1000,ROUNDDOWN(ROW()/2+MOD(ROW(),2),0)+1,COLUMN())</f>
        <v>3</v>
      </c>
      <c r="K12" s="4" cm="1">
        <f t="array" ref="K12">INDEX(Poeng!$A$1:$M$1000,ROUNDDOWN(ROW()/2+MOD(ROW(),2),0)+1,COLUMN())</f>
        <v>0</v>
      </c>
      <c r="L12" s="4" cm="1">
        <f t="array" ref="L12">INDEX(Poeng!$A$1:$M$1000,ROUNDDOWN(ROW()/2+MOD(ROW(),2),0)+1,COLUMN())</f>
        <v>6</v>
      </c>
      <c r="M12" s="4" cm="1">
        <f t="array" ref="M12">INDEX(Poeng!$A$1:$M$1000,ROUNDDOWN(ROW()/2+MOD(ROW(),2),0)+1,COLUMN())</f>
        <v>8</v>
      </c>
    </row>
    <row r="13" spans="1:13" x14ac:dyDescent="0.25">
      <c r="A13" s="1" cm="1">
        <f t="array" aca="1" ref="A13" ca="1">INDIRECT("A" &amp; ROUNDDOWN(ROW()/2,)+1)</f>
        <v>46185.23333333333</v>
      </c>
      <c r="B13" s="4" cm="1">
        <f t="array" ref="B13">INDEX(Poeng!$A$1:$M$1000,ROUNDDOWN(ROW()/2+MOD(ROW(),2),0)+1,COLUMN())</f>
        <v>10</v>
      </c>
      <c r="C13" s="4" cm="1">
        <f t="array" ref="C13">INDEX(Poeng!$A$1:$M$1000,ROUNDDOWN(ROW()/2+MOD(ROW(),2),0)+1,COLUMN())</f>
        <v>9</v>
      </c>
      <c r="D13" s="4" cm="1">
        <f t="array" ref="D13">INDEX(Poeng!$A$1:$M$1000,ROUNDDOWN(ROW()/2+MOD(ROW(),2),0)+1,COLUMN())</f>
        <v>6</v>
      </c>
      <c r="E13" s="4" cm="1">
        <f t="array" ref="E13">INDEX(Poeng!$A$1:$M$1000,ROUNDDOWN(ROW()/2+MOD(ROW(),2),0)+1,COLUMN())</f>
        <v>3</v>
      </c>
      <c r="F13" s="4" cm="1">
        <f t="array" ref="F13">INDEX(Poeng!$A$1:$M$1000,ROUNDDOWN(ROW()/2+MOD(ROW(),2),0)+1,COLUMN())</f>
        <v>8</v>
      </c>
      <c r="G13" s="4" cm="1">
        <f t="array" ref="G13">INDEX(Poeng!$A$1:$M$1000,ROUNDDOWN(ROW()/2+MOD(ROW(),2),0)+1,COLUMN())</f>
        <v>6</v>
      </c>
      <c r="H13" s="4" cm="1">
        <f t="array" ref="H13">INDEX(Poeng!$A$1:$M$1000,ROUNDDOWN(ROW()/2+MOD(ROW(),2),0)+1,COLUMN())</f>
        <v>9</v>
      </c>
      <c r="I13" s="4" cm="1">
        <f t="array" ref="I13">INDEX(Poeng!$A$1:$M$1000,ROUNDDOWN(ROW()/2+MOD(ROW(),2),0)+1,COLUMN())</f>
        <v>3</v>
      </c>
      <c r="J13" s="4" cm="1">
        <f t="array" ref="J13">INDEX(Poeng!$A$1:$M$1000,ROUNDDOWN(ROW()/2+MOD(ROW(),2),0)+1,COLUMN())</f>
        <v>6</v>
      </c>
      <c r="K13" s="4" cm="1">
        <f t="array" ref="K13">INDEX(Poeng!$A$1:$M$1000,ROUNDDOWN(ROW()/2+MOD(ROW(),2),0)+1,COLUMN())</f>
        <v>3</v>
      </c>
      <c r="L13" s="4" cm="1">
        <f t="array" ref="L13">INDEX(Poeng!$A$1:$M$1000,ROUNDDOWN(ROW()/2+MOD(ROW(),2),0)+1,COLUMN())</f>
        <v>6</v>
      </c>
      <c r="M13" s="4" cm="1">
        <f t="array" ref="M13">INDEX(Poeng!$A$1:$M$1000,ROUNDDOWN(ROW()/2+MOD(ROW(),2),0)+1,COLUMN())</f>
        <v>13</v>
      </c>
    </row>
    <row r="14" spans="1:13" x14ac:dyDescent="0.25">
      <c r="A14" s="1" cm="1">
        <f t="array" aca="1" ref="A14" ca="1">INDIRECT("A" &amp; ROUNDDOWN(ROW()/2,)+1)</f>
        <v>46185.895293248053</v>
      </c>
      <c r="B14" s="4" cm="1">
        <f t="array" ref="B14">INDEX(Poeng!$A$1:$M$1000,ROUNDDOWN(ROW()/2+MOD(ROW(),2),0)+1,COLUMN())</f>
        <v>10</v>
      </c>
      <c r="C14" s="4" cm="1">
        <f t="array" ref="C14">INDEX(Poeng!$A$1:$M$1000,ROUNDDOWN(ROW()/2+MOD(ROW(),2),0)+1,COLUMN())</f>
        <v>9</v>
      </c>
      <c r="D14" s="4" cm="1">
        <f t="array" ref="D14">INDEX(Poeng!$A$1:$M$1000,ROUNDDOWN(ROW()/2+MOD(ROW(),2),0)+1,COLUMN())</f>
        <v>6</v>
      </c>
      <c r="E14" s="4" cm="1">
        <f t="array" ref="E14">INDEX(Poeng!$A$1:$M$1000,ROUNDDOWN(ROW()/2+MOD(ROW(),2),0)+1,COLUMN())</f>
        <v>3</v>
      </c>
      <c r="F14" s="4" cm="1">
        <f t="array" ref="F14">INDEX(Poeng!$A$1:$M$1000,ROUNDDOWN(ROW()/2+MOD(ROW(),2),0)+1,COLUMN())</f>
        <v>8</v>
      </c>
      <c r="G14" s="4" cm="1">
        <f t="array" ref="G14">INDEX(Poeng!$A$1:$M$1000,ROUNDDOWN(ROW()/2+MOD(ROW(),2),0)+1,COLUMN())</f>
        <v>6</v>
      </c>
      <c r="H14" s="4" cm="1">
        <f t="array" ref="H14">INDEX(Poeng!$A$1:$M$1000,ROUNDDOWN(ROW()/2+MOD(ROW(),2),0)+1,COLUMN())</f>
        <v>9</v>
      </c>
      <c r="I14" s="4" cm="1">
        <f t="array" ref="I14">INDEX(Poeng!$A$1:$M$1000,ROUNDDOWN(ROW()/2+MOD(ROW(),2),0)+1,COLUMN())</f>
        <v>3</v>
      </c>
      <c r="J14" s="4" cm="1">
        <f t="array" ref="J14">INDEX(Poeng!$A$1:$M$1000,ROUNDDOWN(ROW()/2+MOD(ROW(),2),0)+1,COLUMN())</f>
        <v>6</v>
      </c>
      <c r="K14" s="4" cm="1">
        <f t="array" ref="K14">INDEX(Poeng!$A$1:$M$1000,ROUNDDOWN(ROW()/2+MOD(ROW(),2),0)+1,COLUMN())</f>
        <v>3</v>
      </c>
      <c r="L14" s="4" cm="1">
        <f t="array" ref="L14">INDEX(Poeng!$A$1:$M$1000,ROUNDDOWN(ROW()/2+MOD(ROW(),2),0)+1,COLUMN())</f>
        <v>6</v>
      </c>
      <c r="M14" s="4" cm="1">
        <f t="array" ref="M14">INDEX(Poeng!$A$1:$M$1000,ROUNDDOWN(ROW()/2+MOD(ROW(),2),0)+1,COLUMN())</f>
        <v>13</v>
      </c>
    </row>
    <row r="15" spans="1:13" x14ac:dyDescent="0.25">
      <c r="A15" s="1" cm="1">
        <f t="array" aca="1" ref="A15" ca="1">INDIRECT("A" &amp; ROUNDDOWN(ROW()/2,)+1)</f>
        <v>46185.895293248053</v>
      </c>
      <c r="B15" s="4" cm="1">
        <f t="array" ref="B15">INDEX(Poeng!$A$1:$M$1000,ROUNDDOWN(ROW()/2+MOD(ROW(),2),0)+1,COLUMN())</f>
        <v>5</v>
      </c>
      <c r="C15" s="4" cm="1">
        <f t="array" ref="C15">INDEX(Poeng!$A$1:$M$1000,ROUNDDOWN(ROW()/2+MOD(ROW(),2),0)+1,COLUMN())</f>
        <v>6</v>
      </c>
      <c r="D15" s="4" cm="1">
        <f t="array" ref="D15">INDEX(Poeng!$A$1:$M$1000,ROUNDDOWN(ROW()/2+MOD(ROW(),2),0)+1,COLUMN())</f>
        <v>6</v>
      </c>
      <c r="E15" s="4" cm="1">
        <f t="array" ref="E15">INDEX(Poeng!$A$1:$M$1000,ROUNDDOWN(ROW()/2+MOD(ROW(),2),0)+1,COLUMN())</f>
        <v>3</v>
      </c>
      <c r="F15" s="4" cm="1">
        <f t="array" ref="F15">INDEX(Poeng!$A$1:$M$1000,ROUNDDOWN(ROW()/2+MOD(ROW(),2),0)+1,COLUMN())</f>
        <v>8</v>
      </c>
      <c r="G15" s="4" cm="1">
        <f t="array" ref="G15">INDEX(Poeng!$A$1:$M$1000,ROUNDDOWN(ROW()/2+MOD(ROW(),2),0)+1,COLUMN())</f>
        <v>3</v>
      </c>
      <c r="H15" s="4" cm="1">
        <f t="array" ref="H15">INDEX(Poeng!$A$1:$M$1000,ROUNDDOWN(ROW()/2+MOD(ROW(),2),0)+1,COLUMN())</f>
        <v>6</v>
      </c>
      <c r="I15" s="4" cm="1">
        <f t="array" ref="I15">INDEX(Poeng!$A$1:$M$1000,ROUNDDOWN(ROW()/2+MOD(ROW(),2),0)+1,COLUMN())</f>
        <v>3</v>
      </c>
      <c r="J15" s="4" cm="1">
        <f t="array" ref="J15">INDEX(Poeng!$A$1:$M$1000,ROUNDDOWN(ROW()/2+MOD(ROW(),2),0)+1,COLUMN())</f>
        <v>3</v>
      </c>
      <c r="K15" s="4" cm="1">
        <f t="array" ref="K15">INDEX(Poeng!$A$1:$M$1000,ROUNDDOWN(ROW()/2+MOD(ROW(),2),0)+1,COLUMN())</f>
        <v>0</v>
      </c>
      <c r="L15" s="4" cm="1">
        <f t="array" ref="L15">INDEX(Poeng!$A$1:$M$1000,ROUNDDOWN(ROW()/2+MOD(ROW(),2),0)+1,COLUMN())</f>
        <v>6</v>
      </c>
      <c r="M15" s="4" cm="1">
        <f t="array" ref="M15">INDEX(Poeng!$A$1:$M$1000,ROUNDDOWN(ROW()/2+MOD(ROW(),2),0)+1,COLUMN())</f>
        <v>8</v>
      </c>
    </row>
    <row r="16" spans="1:13" x14ac:dyDescent="0.25">
      <c r="A16" s="1" cm="1">
        <f t="array" aca="1" ref="A16" ca="1">INDIRECT("A" &amp; ROUNDDOWN(ROW()/2,)+1)</f>
        <v>46185.94918325411</v>
      </c>
      <c r="B16" s="4" cm="1">
        <f t="array" ref="B16">INDEX(Poeng!$A$1:$M$1000,ROUNDDOWN(ROW()/2+MOD(ROW(),2),0)+1,COLUMN())</f>
        <v>5</v>
      </c>
      <c r="C16" s="4" cm="1">
        <f t="array" ref="C16">INDEX(Poeng!$A$1:$M$1000,ROUNDDOWN(ROW()/2+MOD(ROW(),2),0)+1,COLUMN())</f>
        <v>6</v>
      </c>
      <c r="D16" s="4" cm="1">
        <f t="array" ref="D16">INDEX(Poeng!$A$1:$M$1000,ROUNDDOWN(ROW()/2+MOD(ROW(),2),0)+1,COLUMN())</f>
        <v>6</v>
      </c>
      <c r="E16" s="4" cm="1">
        <f t="array" ref="E16">INDEX(Poeng!$A$1:$M$1000,ROUNDDOWN(ROW()/2+MOD(ROW(),2),0)+1,COLUMN())</f>
        <v>3</v>
      </c>
      <c r="F16" s="4" cm="1">
        <f t="array" ref="F16">INDEX(Poeng!$A$1:$M$1000,ROUNDDOWN(ROW()/2+MOD(ROW(),2),0)+1,COLUMN())</f>
        <v>8</v>
      </c>
      <c r="G16" s="4" cm="1">
        <f t="array" ref="G16">INDEX(Poeng!$A$1:$M$1000,ROUNDDOWN(ROW()/2+MOD(ROW(),2),0)+1,COLUMN())</f>
        <v>3</v>
      </c>
      <c r="H16" s="4" cm="1">
        <f t="array" ref="H16">INDEX(Poeng!$A$1:$M$1000,ROUNDDOWN(ROW()/2+MOD(ROW(),2),0)+1,COLUMN())</f>
        <v>6</v>
      </c>
      <c r="I16" s="4" cm="1">
        <f t="array" ref="I16">INDEX(Poeng!$A$1:$M$1000,ROUNDDOWN(ROW()/2+MOD(ROW(),2),0)+1,COLUMN())</f>
        <v>3</v>
      </c>
      <c r="J16" s="4" cm="1">
        <f t="array" ref="J16">INDEX(Poeng!$A$1:$M$1000,ROUNDDOWN(ROW()/2+MOD(ROW(),2),0)+1,COLUMN())</f>
        <v>3</v>
      </c>
      <c r="K16" s="4" cm="1">
        <f t="array" ref="K16">INDEX(Poeng!$A$1:$M$1000,ROUNDDOWN(ROW()/2+MOD(ROW(),2),0)+1,COLUMN())</f>
        <v>0</v>
      </c>
      <c r="L16" s="4" cm="1">
        <f t="array" ref="L16">INDEX(Poeng!$A$1:$M$1000,ROUNDDOWN(ROW()/2+MOD(ROW(),2),0)+1,COLUMN())</f>
        <v>6</v>
      </c>
      <c r="M16" s="4" cm="1">
        <f t="array" ref="M16">INDEX(Poeng!$A$1:$M$1000,ROUNDDOWN(ROW()/2+MOD(ROW(),2),0)+1,COLUMN())</f>
        <v>8</v>
      </c>
    </row>
    <row r="17" spans="1:13" x14ac:dyDescent="0.25">
      <c r="A17" s="1" cm="1">
        <f t="array" aca="1" ref="A17" ca="1">INDIRECT("A" &amp; ROUNDDOWN(ROW()/2,)+1)</f>
        <v>46185.94918325411</v>
      </c>
      <c r="B17" s="4" cm="1">
        <f t="array" ref="B17">INDEX(Poeng!$A$1:$M$1000,ROUNDDOWN(ROW()/2+MOD(ROW(),2),0)+1,COLUMN())</f>
        <v>5</v>
      </c>
      <c r="C17" s="4" cm="1">
        <f t="array" ref="C17">INDEX(Poeng!$A$1:$M$1000,ROUNDDOWN(ROW()/2+MOD(ROW(),2),0)+1,COLUMN())</f>
        <v>6</v>
      </c>
      <c r="D17" s="4" cm="1">
        <f t="array" ref="D17">INDEX(Poeng!$A$1:$M$1000,ROUNDDOWN(ROW()/2+MOD(ROW(),2),0)+1,COLUMN())</f>
        <v>9</v>
      </c>
      <c r="E17" s="4" cm="1">
        <f t="array" ref="E17">INDEX(Poeng!$A$1:$M$1000,ROUNDDOWN(ROW()/2+MOD(ROW(),2),0)+1,COLUMN())</f>
        <v>6</v>
      </c>
      <c r="F17" s="4" cm="1">
        <f t="array" ref="F17">INDEX(Poeng!$A$1:$M$1000,ROUNDDOWN(ROW()/2+MOD(ROW(),2),0)+1,COLUMN())</f>
        <v>11</v>
      </c>
      <c r="G17" s="4" cm="1">
        <f t="array" ref="G17">INDEX(Poeng!$A$1:$M$1000,ROUNDDOWN(ROW()/2+MOD(ROW(),2),0)+1,COLUMN())</f>
        <v>6</v>
      </c>
      <c r="H17" s="4" cm="1">
        <f t="array" ref="H17">INDEX(Poeng!$A$1:$M$1000,ROUNDDOWN(ROW()/2+MOD(ROW(),2),0)+1,COLUMN())</f>
        <v>6</v>
      </c>
      <c r="I17" s="4" cm="1">
        <f t="array" ref="I17">INDEX(Poeng!$A$1:$M$1000,ROUNDDOWN(ROW()/2+MOD(ROW(),2),0)+1,COLUMN())</f>
        <v>3</v>
      </c>
      <c r="J17" s="4" cm="1">
        <f t="array" ref="J17">INDEX(Poeng!$A$1:$M$1000,ROUNDDOWN(ROW()/2+MOD(ROW(),2),0)+1,COLUMN())</f>
        <v>3</v>
      </c>
      <c r="K17" s="4" cm="1">
        <f t="array" ref="K17">INDEX(Poeng!$A$1:$M$1000,ROUNDDOWN(ROW()/2+MOD(ROW(),2),0)+1,COLUMN())</f>
        <v>0</v>
      </c>
      <c r="L17" s="4" cm="1">
        <f t="array" ref="L17">INDEX(Poeng!$A$1:$M$1000,ROUNDDOWN(ROW()/2+MOD(ROW(),2),0)+1,COLUMN())</f>
        <v>9</v>
      </c>
      <c r="M17" s="4" cm="1">
        <f t="array" ref="M17">INDEX(Poeng!$A$1:$M$1000,ROUNDDOWN(ROW()/2+MOD(ROW(),2),0)+1,COLUMN())</f>
        <v>8</v>
      </c>
    </row>
    <row r="18" spans="1:13" x14ac:dyDescent="0.25">
      <c r="A18" s="1" cm="1">
        <f t="array" aca="1" ref="A18" ca="1">INDIRECT("A" &amp; ROUNDDOWN(ROW()/2,)+1)</f>
        <v>46186.129861111112</v>
      </c>
      <c r="B18" s="4" cm="1">
        <f t="array" ref="B18">INDEX(Poeng!$A$1:$M$1000,ROUNDDOWN(ROW()/2+MOD(ROW(),2),0)+1,COLUMN())</f>
        <v>5</v>
      </c>
      <c r="C18" s="4" cm="1">
        <f t="array" ref="C18">INDEX(Poeng!$A$1:$M$1000,ROUNDDOWN(ROW()/2+MOD(ROW(),2),0)+1,COLUMN())</f>
        <v>6</v>
      </c>
      <c r="D18" s="4" cm="1">
        <f t="array" ref="D18">INDEX(Poeng!$A$1:$M$1000,ROUNDDOWN(ROW()/2+MOD(ROW(),2),0)+1,COLUMN())</f>
        <v>9</v>
      </c>
      <c r="E18" s="4" cm="1">
        <f t="array" ref="E18">INDEX(Poeng!$A$1:$M$1000,ROUNDDOWN(ROW()/2+MOD(ROW(),2),0)+1,COLUMN())</f>
        <v>6</v>
      </c>
      <c r="F18" s="4" cm="1">
        <f t="array" ref="F18">INDEX(Poeng!$A$1:$M$1000,ROUNDDOWN(ROW()/2+MOD(ROW(),2),0)+1,COLUMN())</f>
        <v>11</v>
      </c>
      <c r="G18" s="4" cm="1">
        <f t="array" ref="G18">INDEX(Poeng!$A$1:$M$1000,ROUNDDOWN(ROW()/2+MOD(ROW(),2),0)+1,COLUMN())</f>
        <v>6</v>
      </c>
      <c r="H18" s="4" cm="1">
        <f t="array" ref="H18">INDEX(Poeng!$A$1:$M$1000,ROUNDDOWN(ROW()/2+MOD(ROW(),2),0)+1,COLUMN())</f>
        <v>6</v>
      </c>
      <c r="I18" s="4" cm="1">
        <f t="array" ref="I18">INDEX(Poeng!$A$1:$M$1000,ROUNDDOWN(ROW()/2+MOD(ROW(),2),0)+1,COLUMN())</f>
        <v>3</v>
      </c>
      <c r="J18" s="4" cm="1">
        <f t="array" ref="J18">INDEX(Poeng!$A$1:$M$1000,ROUNDDOWN(ROW()/2+MOD(ROW(),2),0)+1,COLUMN())</f>
        <v>3</v>
      </c>
      <c r="K18" s="4" cm="1">
        <f t="array" ref="K18">INDEX(Poeng!$A$1:$M$1000,ROUNDDOWN(ROW()/2+MOD(ROW(),2),0)+1,COLUMN())</f>
        <v>0</v>
      </c>
      <c r="L18" s="4" cm="1">
        <f t="array" ref="L18">INDEX(Poeng!$A$1:$M$1000,ROUNDDOWN(ROW()/2+MOD(ROW(),2),0)+1,COLUMN())</f>
        <v>9</v>
      </c>
      <c r="M18" s="4" cm="1">
        <f t="array" ref="M18">INDEX(Poeng!$A$1:$M$1000,ROUNDDOWN(ROW()/2+MOD(ROW(),2),0)+1,COLUMN())</f>
        <v>8</v>
      </c>
    </row>
    <row r="19" spans="1:13" x14ac:dyDescent="0.25">
      <c r="A19" s="1" cm="1">
        <f t="array" aca="1" ref="A19" ca="1">INDIRECT("A" &amp; ROUNDDOWN(ROW()/2,)+1)</f>
        <v>46186.129861111112</v>
      </c>
      <c r="B19" s="4" cm="1">
        <f t="array" ref="B19">INDEX(Poeng!$A$1:$M$1000,ROUNDDOWN(ROW()/2+MOD(ROW(),2),0)+1,COLUMN())</f>
        <v>5</v>
      </c>
      <c r="C19" s="4" cm="1">
        <f t="array" ref="C19">INDEX(Poeng!$A$1:$M$1000,ROUNDDOWN(ROW()/2+MOD(ROW(),2),0)+1,COLUMN())</f>
        <v>6</v>
      </c>
      <c r="D19" s="4" cm="1">
        <f t="array" ref="D19">INDEX(Poeng!$A$1:$M$1000,ROUNDDOWN(ROW()/2+MOD(ROW(),2),0)+1,COLUMN())</f>
        <v>9</v>
      </c>
      <c r="E19" s="4" cm="1">
        <f t="array" ref="E19">INDEX(Poeng!$A$1:$M$1000,ROUNDDOWN(ROW()/2+MOD(ROW(),2),0)+1,COLUMN())</f>
        <v>6</v>
      </c>
      <c r="F19" s="4" cm="1">
        <f t="array" ref="F19">INDEX(Poeng!$A$1:$M$1000,ROUNDDOWN(ROW()/2+MOD(ROW(),2),0)+1,COLUMN())</f>
        <v>13</v>
      </c>
      <c r="G19" s="4" cm="1">
        <f t="array" ref="G19">INDEX(Poeng!$A$1:$M$1000,ROUNDDOWN(ROW()/2+MOD(ROW(),2),0)+1,COLUMN())</f>
        <v>6</v>
      </c>
      <c r="H19" s="4" cm="1">
        <f t="array" ref="H19">INDEX(Poeng!$A$1:$M$1000,ROUNDDOWN(ROW()/2+MOD(ROW(),2),0)+1,COLUMN())</f>
        <v>6</v>
      </c>
      <c r="I19" s="4" cm="1">
        <f t="array" ref="I19">INDEX(Poeng!$A$1:$M$1000,ROUNDDOWN(ROW()/2+MOD(ROW(),2),0)+1,COLUMN())</f>
        <v>3</v>
      </c>
      <c r="J19" s="4" cm="1">
        <f t="array" ref="J19">INDEX(Poeng!$A$1:$M$1000,ROUNDDOWN(ROW()/2+MOD(ROW(),2),0)+1,COLUMN())</f>
        <v>3</v>
      </c>
      <c r="K19" s="4" cm="1">
        <f t="array" ref="K19">INDEX(Poeng!$A$1:$M$1000,ROUNDDOWN(ROW()/2+MOD(ROW(),2),0)+1,COLUMN())</f>
        <v>0</v>
      </c>
      <c r="L19" s="4" cm="1">
        <f t="array" ref="L19">INDEX(Poeng!$A$1:$M$1000,ROUNDDOWN(ROW()/2+MOD(ROW(),2),0)+1,COLUMN())</f>
        <v>11</v>
      </c>
      <c r="M19" s="4" cm="1">
        <f t="array" ref="M19">INDEX(Poeng!$A$1:$M$1000,ROUNDDOWN(ROW()/2+MOD(ROW(),2),0)+1,COLUMN())</f>
        <v>8</v>
      </c>
    </row>
    <row r="20" spans="1:13" x14ac:dyDescent="0.25">
      <c r="A20" s="1" cm="1">
        <f t="array" aca="1" ref="A20" ca="1">INDIRECT("A" &amp; ROUNDDOWN(ROW()/2,)+1)</f>
        <v>46186.146527777775</v>
      </c>
      <c r="B20" s="4" cm="1">
        <f t="array" ref="B20">INDEX(Poeng!$A$1:$M$1000,ROUNDDOWN(ROW()/2+MOD(ROW(),2),0)+1,COLUMN())</f>
        <v>5</v>
      </c>
      <c r="C20" s="4" cm="1">
        <f t="array" ref="C20">INDEX(Poeng!$A$1:$M$1000,ROUNDDOWN(ROW()/2+MOD(ROW(),2),0)+1,COLUMN())</f>
        <v>6</v>
      </c>
      <c r="D20" s="4" cm="1">
        <f t="array" ref="D20">INDEX(Poeng!$A$1:$M$1000,ROUNDDOWN(ROW()/2+MOD(ROW(),2),0)+1,COLUMN())</f>
        <v>9</v>
      </c>
      <c r="E20" s="4" cm="1">
        <f t="array" ref="E20">INDEX(Poeng!$A$1:$M$1000,ROUNDDOWN(ROW()/2+MOD(ROW(),2),0)+1,COLUMN())</f>
        <v>6</v>
      </c>
      <c r="F20" s="4" cm="1">
        <f t="array" ref="F20">INDEX(Poeng!$A$1:$M$1000,ROUNDDOWN(ROW()/2+MOD(ROW(),2),0)+1,COLUMN())</f>
        <v>13</v>
      </c>
      <c r="G20" s="4" cm="1">
        <f t="array" ref="G20">INDEX(Poeng!$A$1:$M$1000,ROUNDDOWN(ROW()/2+MOD(ROW(),2),0)+1,COLUMN())</f>
        <v>6</v>
      </c>
      <c r="H20" s="4" cm="1">
        <f t="array" ref="H20">INDEX(Poeng!$A$1:$M$1000,ROUNDDOWN(ROW()/2+MOD(ROW(),2),0)+1,COLUMN())</f>
        <v>6</v>
      </c>
      <c r="I20" s="4" cm="1">
        <f t="array" ref="I20">INDEX(Poeng!$A$1:$M$1000,ROUNDDOWN(ROW()/2+MOD(ROW(),2),0)+1,COLUMN())</f>
        <v>3</v>
      </c>
      <c r="J20" s="4" cm="1">
        <f t="array" ref="J20">INDEX(Poeng!$A$1:$M$1000,ROUNDDOWN(ROW()/2+MOD(ROW(),2),0)+1,COLUMN())</f>
        <v>3</v>
      </c>
      <c r="K20" s="4" cm="1">
        <f t="array" ref="K20">INDEX(Poeng!$A$1:$M$1000,ROUNDDOWN(ROW()/2+MOD(ROW(),2),0)+1,COLUMN())</f>
        <v>0</v>
      </c>
      <c r="L20" s="4" cm="1">
        <f t="array" ref="L20">INDEX(Poeng!$A$1:$M$1000,ROUNDDOWN(ROW()/2+MOD(ROW(),2),0)+1,COLUMN())</f>
        <v>11</v>
      </c>
      <c r="M20" s="4" cm="1">
        <f t="array" ref="M20">INDEX(Poeng!$A$1:$M$1000,ROUNDDOWN(ROW()/2+MOD(ROW(),2),0)+1,COLUMN())</f>
        <v>8</v>
      </c>
    </row>
    <row r="21" spans="1:13" x14ac:dyDescent="0.25">
      <c r="A21" s="1" cm="1">
        <f t="array" aca="1" ref="A21" ca="1">INDIRECT("A" &amp; ROUNDDOWN(ROW()/2,)+1)</f>
        <v>46186.146527777775</v>
      </c>
      <c r="B21" s="4" cm="1">
        <f t="array" ref="B21">INDEX(Poeng!$A$1:$M$1000,ROUNDDOWN(ROW()/2+MOD(ROW(),2),0)+1,COLUMN())</f>
        <v>5</v>
      </c>
      <c r="C21" s="4" cm="1">
        <f t="array" ref="C21">INDEX(Poeng!$A$1:$M$1000,ROUNDDOWN(ROW()/2+MOD(ROW(),2),0)+1,COLUMN())</f>
        <v>6</v>
      </c>
      <c r="D21" s="4" cm="1">
        <f t="array" ref="D21">INDEX(Poeng!$A$1:$M$1000,ROUNDDOWN(ROW()/2+MOD(ROW(),2),0)+1,COLUMN())</f>
        <v>9</v>
      </c>
      <c r="E21" s="4" cm="1">
        <f t="array" ref="E21">INDEX(Poeng!$A$1:$M$1000,ROUNDDOWN(ROW()/2+MOD(ROW(),2),0)+1,COLUMN())</f>
        <v>6</v>
      </c>
      <c r="F21" s="4" cm="1">
        <f t="array" ref="F21">INDEX(Poeng!$A$1:$M$1000,ROUNDDOWN(ROW()/2+MOD(ROW(),2),0)+1,COLUMN())</f>
        <v>11</v>
      </c>
      <c r="G21" s="4" cm="1">
        <f t="array" ref="G21">INDEX(Poeng!$A$1:$M$1000,ROUNDDOWN(ROW()/2+MOD(ROW(),2),0)+1,COLUMN())</f>
        <v>6</v>
      </c>
      <c r="H21" s="4" cm="1">
        <f t="array" ref="H21">INDEX(Poeng!$A$1:$M$1000,ROUNDDOWN(ROW()/2+MOD(ROW(),2),0)+1,COLUMN())</f>
        <v>6</v>
      </c>
      <c r="I21" s="4" cm="1">
        <f t="array" ref="I21">INDEX(Poeng!$A$1:$M$1000,ROUNDDOWN(ROW()/2+MOD(ROW(),2),0)+1,COLUMN())</f>
        <v>3</v>
      </c>
      <c r="J21" s="4" cm="1">
        <f t="array" ref="J21">INDEX(Poeng!$A$1:$M$1000,ROUNDDOWN(ROW()/2+MOD(ROW(),2),0)+1,COLUMN())</f>
        <v>3</v>
      </c>
      <c r="K21" s="4" cm="1">
        <f t="array" ref="K21">INDEX(Poeng!$A$1:$M$1000,ROUNDDOWN(ROW()/2+MOD(ROW(),2),0)+1,COLUMN())</f>
        <v>0</v>
      </c>
      <c r="L21" s="4" cm="1">
        <f t="array" ref="L21">INDEX(Poeng!$A$1:$M$1000,ROUNDDOWN(ROW()/2+MOD(ROW(),2),0)+1,COLUMN())</f>
        <v>9</v>
      </c>
      <c r="M21" s="4" cm="1">
        <f t="array" ref="M21">INDEX(Poeng!$A$1:$M$1000,ROUNDDOWN(ROW()/2+MOD(ROW(),2),0)+1,COLUMN())</f>
        <v>8</v>
      </c>
    </row>
    <row r="22" spans="1:13" x14ac:dyDescent="0.25">
      <c r="A22" s="1" cm="1">
        <f t="array" aca="1" ref="A22" ca="1">INDIRECT("A" &amp; ROUNDDOWN(ROW()/2,)+1)</f>
        <v>46186.159722222219</v>
      </c>
      <c r="B22" s="4" cm="1">
        <f t="array" ref="B22">INDEX(Poeng!$A$1:$M$1000,ROUNDDOWN(ROW()/2+MOD(ROW(),2),0)+1,COLUMN())</f>
        <v>5</v>
      </c>
      <c r="C22" s="4" cm="1">
        <f t="array" ref="C22">INDEX(Poeng!$A$1:$M$1000,ROUNDDOWN(ROW()/2+MOD(ROW(),2),0)+1,COLUMN())</f>
        <v>6</v>
      </c>
      <c r="D22" s="4" cm="1">
        <f t="array" ref="D22">INDEX(Poeng!$A$1:$M$1000,ROUNDDOWN(ROW()/2+MOD(ROW(),2),0)+1,COLUMN())</f>
        <v>9</v>
      </c>
      <c r="E22" s="4" cm="1">
        <f t="array" ref="E22">INDEX(Poeng!$A$1:$M$1000,ROUNDDOWN(ROW()/2+MOD(ROW(),2),0)+1,COLUMN())</f>
        <v>6</v>
      </c>
      <c r="F22" s="4" cm="1">
        <f t="array" ref="F22">INDEX(Poeng!$A$1:$M$1000,ROUNDDOWN(ROW()/2+MOD(ROW(),2),0)+1,COLUMN())</f>
        <v>11</v>
      </c>
      <c r="G22" s="4" cm="1">
        <f t="array" ref="G22">INDEX(Poeng!$A$1:$M$1000,ROUNDDOWN(ROW()/2+MOD(ROW(),2),0)+1,COLUMN())</f>
        <v>6</v>
      </c>
      <c r="H22" s="4" cm="1">
        <f t="array" ref="H22">INDEX(Poeng!$A$1:$M$1000,ROUNDDOWN(ROW()/2+MOD(ROW(),2),0)+1,COLUMN())</f>
        <v>6</v>
      </c>
      <c r="I22" s="4" cm="1">
        <f t="array" ref="I22">INDEX(Poeng!$A$1:$M$1000,ROUNDDOWN(ROW()/2+MOD(ROW(),2),0)+1,COLUMN())</f>
        <v>3</v>
      </c>
      <c r="J22" s="4" cm="1">
        <f t="array" ref="J22">INDEX(Poeng!$A$1:$M$1000,ROUNDDOWN(ROW()/2+MOD(ROW(),2),0)+1,COLUMN())</f>
        <v>3</v>
      </c>
      <c r="K22" s="4" cm="1">
        <f t="array" ref="K22">INDEX(Poeng!$A$1:$M$1000,ROUNDDOWN(ROW()/2+MOD(ROW(),2),0)+1,COLUMN())</f>
        <v>0</v>
      </c>
      <c r="L22" s="4" cm="1">
        <f t="array" ref="L22">INDEX(Poeng!$A$1:$M$1000,ROUNDDOWN(ROW()/2+MOD(ROW(),2),0)+1,COLUMN())</f>
        <v>9</v>
      </c>
      <c r="M22" s="4" cm="1">
        <f t="array" ref="M22">INDEX(Poeng!$A$1:$M$1000,ROUNDDOWN(ROW()/2+MOD(ROW(),2),0)+1,COLUMN())</f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Toppscorere</vt:lpstr>
      <vt:lpstr>Kamper</vt:lpstr>
      <vt:lpstr>Poeng</vt:lpstr>
      <vt:lpstr>Plotting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Torstein Penne</cp:lastModifiedBy>
  <dcterms:created xsi:type="dcterms:W3CDTF">2026-06-10T11:55:18Z</dcterms:created>
  <dcterms:modified xsi:type="dcterms:W3CDTF">2026-06-13T17:45:41Z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f08ec5-d6d9-4227-8387-ccbfcb3632c4_Enabled">
    <vt:lpwstr>true</vt:lpwstr>
  </property>
  <property fmtid="{D5CDD505-2E9C-101B-9397-08002B2CF9AE}" pid="3" name="MSIP_Label_43f08ec5-d6d9-4227-8387-ccbfcb3632c4_SetDate">
    <vt:lpwstr>2026-06-11T07:09:33Z</vt:lpwstr>
  </property>
  <property fmtid="{D5CDD505-2E9C-101B-9397-08002B2CF9AE}" pid="4" name="MSIP_Label_43f08ec5-d6d9-4227-8387-ccbfcb3632c4_Method">
    <vt:lpwstr>Standard</vt:lpwstr>
  </property>
  <property fmtid="{D5CDD505-2E9C-101B-9397-08002B2CF9AE}" pid="5" name="MSIP_Label_43f08ec5-d6d9-4227-8387-ccbfcb3632c4_Name">
    <vt:lpwstr>Sweco Restricted</vt:lpwstr>
  </property>
  <property fmtid="{D5CDD505-2E9C-101B-9397-08002B2CF9AE}" pid="6" name="MSIP_Label_43f08ec5-d6d9-4227-8387-ccbfcb3632c4_SiteId">
    <vt:lpwstr>b7872ef0-9a00-4c18-8a4a-c7d25c778a9e</vt:lpwstr>
  </property>
  <property fmtid="{D5CDD505-2E9C-101B-9397-08002B2CF9AE}" pid="7" name="MSIP_Label_43f08ec5-d6d9-4227-8387-ccbfcb3632c4_ActionId">
    <vt:lpwstr>1592027f-4a3d-4af2-a213-5f4ab2a2eea3</vt:lpwstr>
  </property>
  <property fmtid="{D5CDD505-2E9C-101B-9397-08002B2CF9AE}" pid="8" name="MSIP_Label_43f08ec5-d6d9-4227-8387-ccbfcb3632c4_ContentBits">
    <vt:lpwstr>0</vt:lpwstr>
  </property>
  <property fmtid="{D5CDD505-2E9C-101B-9397-08002B2CF9AE}" pid="9" name="MSIP_Label_43f08ec5-d6d9-4227-8387-ccbfcb3632c4_Tag">
    <vt:lpwstr>10, 3, 0, 1</vt:lpwstr>
  </property>
</Properties>
</file>